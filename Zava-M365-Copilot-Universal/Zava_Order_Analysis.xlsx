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Pric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EUR #,##0.00"/>
  </numFmts>
  <fonts count="3">
    <font>
      <name val="Calibri"/>
      <family val="2"/>
      <color theme="1"/>
      <sz val="11"/>
      <scheme val="minor"/>
    </font>
    <font>
      <b val="1"/>
      <color rgb="00B11F4B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11F4B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14-day supply by SKU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'Inventory'!N1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'Inventory'!$B$2:$B$16</f>
            </numRef>
          </cat>
          <val>
            <numRef>
              <f>'Inventory'!$N$2:$N$16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SKU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Zava Rush Order Decision Dashboard</t>
        </is>
      </c>
      <c r="B1" s="1" t="n"/>
    </row>
    <row r="2">
      <c r="A2" s="2" t="n"/>
      <c r="B2" s="2" t="n"/>
    </row>
    <row r="3">
      <c r="A3" s="2" t="inlineStr">
        <is>
          <t>Requested units</t>
        </is>
      </c>
      <c r="B3" s="2" t="n">
        <v>20000</v>
      </c>
    </row>
    <row r="4">
      <c r="A4" s="2" t="inlineStr">
        <is>
          <t>Available inventory</t>
        </is>
      </c>
      <c r="B4" s="2">
        <f>SUM(Inventory!F:F)</f>
        <v/>
      </c>
    </row>
    <row r="5">
      <c r="A5" s="2" t="inlineStr">
        <is>
          <t>Additional 14-day capacity</t>
        </is>
      </c>
      <c r="B5" s="2">
        <f>SUM(Inventory!K:K)</f>
        <v/>
      </c>
    </row>
    <row r="6">
      <c r="A6" s="2" t="inlineStr">
        <is>
          <t>Total 14-day supply</t>
        </is>
      </c>
      <c r="B6" s="2">
        <f>B4+B5</f>
        <v/>
      </c>
    </row>
    <row r="7">
      <c r="A7" s="2" t="inlineStr">
        <is>
          <t>Supply surplus / gap</t>
        </is>
      </c>
      <c r="B7" s="2">
        <f>B6-B3</f>
        <v/>
      </c>
    </row>
    <row r="8">
      <c r="A8" s="2" t="inlineStr">
        <is>
          <t>Recommended average pricefloor</t>
        </is>
      </c>
      <c r="B8" s="3">
        <f>MAX(Inventory!P:P)</f>
        <v/>
      </c>
    </row>
    <row r="9">
      <c r="A9" s="2" t="inlineStr">
        <is>
          <t>Policy gross margin</t>
        </is>
      </c>
      <c r="B9" s="4">
        <f>Pricing!B2/100</f>
        <v/>
      </c>
    </row>
    <row r="10">
      <c r="A10" s="2" t="n"/>
      <c r="B10" s="2" t="n"/>
    </row>
    <row r="11">
      <c r="A11" s="2" t="inlineStr">
        <is>
          <t>Executive recommendation</t>
        </is>
      </c>
      <c r="B11" s="2" t="inlineStr">
        <is>
          <t>Conditional yes: accept order if partner capacity, NFC activation, pricefloor, and Singapore freight are confirmed today.</t>
        </is>
      </c>
    </row>
    <row r="12">
      <c r="A12" s="2" t="n"/>
      <c r="B12" s="2" t="n"/>
    </row>
    <row r="13">
      <c r="A13" s="2" t="inlineStr">
        <is>
          <t>Presenter prompt</t>
        </is>
      </c>
      <c r="B13" s="2" t="inlineStr">
        <is>
          <t>Ask Copilot in Excel: find the bottleneck, explain the pricefloor, and draft the decision summary.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Item</t>
        </is>
      </c>
      <c r="B1" s="1" t="inlineStr">
        <is>
          <t>Color</t>
        </is>
      </c>
      <c r="C1" s="1" t="inlineStr">
        <is>
          <t>Size</t>
        </is>
      </c>
      <c r="D1" s="1" t="inlineStr">
        <is>
          <t>FinishedInventory</t>
        </is>
      </c>
      <c r="E1" s="1" t="inlineStr">
        <is>
          <t>ReservedUnits</t>
        </is>
      </c>
      <c r="F1" s="1" t="inlineStr">
        <is>
          <t>AvailableUnits</t>
        </is>
      </c>
      <c r="G1" s="1" t="inlineStr">
        <is>
          <t>UnitCostEUR</t>
        </is>
      </c>
      <c r="H1" s="1" t="inlineStr">
        <is>
          <t>TargetPriceEUR</t>
        </is>
      </c>
      <c r="I1" s="1" t="inlineStr">
        <is>
          <t>NFCTagStatus</t>
        </is>
      </c>
      <c r="J1" s="1" t="inlineStr">
        <is>
          <t>ProductionPartner</t>
        </is>
      </c>
      <c r="K1" s="1" t="inlineStr">
        <is>
          <t>AdditionalCapacity14Days</t>
        </is>
      </c>
      <c r="L1" s="1" t="inlineStr">
        <is>
          <t>ExpediteCostEUR</t>
        </is>
      </c>
      <c r="M1" s="1" t="inlineStr">
        <is>
          <t>DeliveryRisk</t>
        </is>
      </c>
      <c r="N1" s="1" t="inlineStr">
        <is>
          <t>Total14DaySupply</t>
        </is>
      </c>
      <c r="O1" s="1" t="inlineStr">
        <is>
          <t>MarginAtTarget</t>
        </is>
      </c>
      <c r="P1" s="1" t="inlineStr">
        <is>
          <t>RecommendedFloor</t>
        </is>
      </c>
    </row>
    <row r="2">
      <c r="A2" s="2" t="inlineStr">
        <is>
          <t>Smart Launch Shirt</t>
        </is>
      </c>
      <c r="B2" s="2" t="inlineStr">
        <is>
          <t>Black</t>
        </is>
      </c>
      <c r="C2" s="2" t="inlineStr">
        <is>
          <t>S</t>
        </is>
      </c>
      <c r="D2" s="2" t="inlineStr">
        <is>
          <t>1850</t>
        </is>
      </c>
      <c r="E2" s="2" t="inlineStr">
        <is>
          <t>300</t>
        </is>
      </c>
      <c r="F2" s="2" t="inlineStr">
        <is>
          <t>1550</t>
        </is>
      </c>
      <c r="G2" s="2" t="inlineStr">
        <is>
          <t>12.40</t>
        </is>
      </c>
      <c r="H2" s="2" t="inlineStr">
        <is>
          <t>24.90</t>
        </is>
      </c>
      <c r="I2" s="2" t="inlineStr">
        <is>
          <t>Ready</t>
        </is>
      </c>
      <c r="J2" s="2" t="inlineStr">
        <is>
          <t>Zava Central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Low</t>
        </is>
      </c>
      <c r="N2" s="2">
        <f>F2+K2</f>
        <v/>
      </c>
      <c r="O2" s="4">
        <f>(H2-G2-L2)/H2</f>
        <v/>
      </c>
      <c r="P2" s="3">
        <f>(G2+L2+0.85+0.65)/(1-0.32)</f>
        <v/>
      </c>
    </row>
    <row r="3">
      <c r="A3" s="2" t="inlineStr">
        <is>
          <t>Smart Launch Shirt</t>
        </is>
      </c>
      <c r="B3" s="2" t="inlineStr">
        <is>
          <t>Black</t>
        </is>
      </c>
      <c r="C3" s="2" t="inlineStr">
        <is>
          <t>M</t>
        </is>
      </c>
      <c r="D3" s="2" t="inlineStr">
        <is>
          <t>2600</t>
        </is>
      </c>
      <c r="E3" s="2" t="inlineStr">
        <is>
          <t>500</t>
        </is>
      </c>
      <c r="F3" s="2" t="inlineStr">
        <is>
          <t>2100</t>
        </is>
      </c>
      <c r="G3" s="2" t="inlineStr">
        <is>
          <t>12.60</t>
        </is>
      </c>
      <c r="H3" s="2" t="inlineStr">
        <is>
          <t>24.90</t>
        </is>
      </c>
      <c r="I3" s="2" t="inlineStr">
        <is>
          <t>Ready</t>
        </is>
      </c>
      <c r="J3" s="2" t="inlineStr">
        <is>
          <t>Zava Central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Low</t>
        </is>
      </c>
      <c r="N3" s="2">
        <f>F3+K3</f>
        <v/>
      </c>
      <c r="O3" s="4">
        <f>(H3-G3-L3)/H3</f>
        <v/>
      </c>
      <c r="P3" s="3">
        <f>(G3+L3+0.85+0.65)/(1-0.32)</f>
        <v/>
      </c>
    </row>
    <row r="4">
      <c r="A4" s="2" t="inlineStr">
        <is>
          <t>Smart Launch Shirt</t>
        </is>
      </c>
      <c r="B4" s="2" t="inlineStr">
        <is>
          <t>Black</t>
        </is>
      </c>
      <c r="C4" s="2" t="inlineStr">
        <is>
          <t>L</t>
        </is>
      </c>
      <c r="D4" s="2" t="inlineStr">
        <is>
          <t>2450</t>
        </is>
      </c>
      <c r="E4" s="2" t="inlineStr">
        <is>
          <t>450</t>
        </is>
      </c>
      <c r="F4" s="2" t="inlineStr">
        <is>
          <t>2000</t>
        </is>
      </c>
      <c r="G4" s="2" t="inlineStr">
        <is>
          <t>12.80</t>
        </is>
      </c>
      <c r="H4" s="2" t="inlineStr">
        <is>
          <t>24.90</t>
        </is>
      </c>
      <c r="I4" s="2" t="inlineStr">
        <is>
          <t>Ready</t>
        </is>
      </c>
      <c r="J4" s="2" t="inlineStr">
        <is>
          <t>Zava Central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Low</t>
        </is>
      </c>
      <c r="N4" s="2">
        <f>F4+K4</f>
        <v/>
      </c>
      <c r="O4" s="4">
        <f>(H4-G4-L4)/H4</f>
        <v/>
      </c>
      <c r="P4" s="3">
        <f>(G4+L4+0.85+0.65)/(1-0.32)</f>
        <v/>
      </c>
    </row>
    <row r="5">
      <c r="A5" s="2" t="inlineStr">
        <is>
          <t>Smart Launch Shirt</t>
        </is>
      </c>
      <c r="B5" s="2" t="inlineStr">
        <is>
          <t>Black</t>
        </is>
      </c>
      <c r="C5" s="2" t="inlineStr">
        <is>
          <t>XL</t>
        </is>
      </c>
      <c r="D5" s="2" t="inlineStr">
        <is>
          <t>1600</t>
        </is>
      </c>
      <c r="E5" s="2" t="inlineStr">
        <is>
          <t>250</t>
        </is>
      </c>
      <c r="F5" s="2" t="inlineStr">
        <is>
          <t>1350</t>
        </is>
      </c>
      <c r="G5" s="2" t="inlineStr">
        <is>
          <t>13.10</t>
        </is>
      </c>
      <c r="H5" s="2" t="inlineStr">
        <is>
          <t>25.90</t>
        </is>
      </c>
      <c r="I5" s="2" t="inlineStr">
        <is>
          <t>Ready</t>
        </is>
      </c>
      <c r="J5" s="2" t="inlineStr">
        <is>
          <t>Zava Central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Low</t>
        </is>
      </c>
      <c r="N5" s="2">
        <f>F5+K5</f>
        <v/>
      </c>
      <c r="O5" s="4">
        <f>(H5-G5-L5)/H5</f>
        <v/>
      </c>
      <c r="P5" s="3">
        <f>(G5+L5+0.85+0.65)/(1-0.32)</f>
        <v/>
      </c>
    </row>
    <row r="6">
      <c r="A6" s="2" t="inlineStr">
        <is>
          <t>Smart Launch Shirt</t>
        </is>
      </c>
      <c r="B6" s="2" t="inlineStr">
        <is>
          <t>Black</t>
        </is>
      </c>
      <c r="C6" s="2" t="inlineStr">
        <is>
          <t>XXL</t>
        </is>
      </c>
      <c r="D6" s="2" t="inlineStr">
        <is>
          <t>750</t>
        </is>
      </c>
      <c r="E6" s="2" t="inlineStr">
        <is>
          <t>150</t>
        </is>
      </c>
      <c r="F6" s="2" t="inlineStr">
        <is>
          <t>600</t>
        </is>
      </c>
      <c r="G6" s="2" t="inlineStr">
        <is>
          <t>13.50</t>
        </is>
      </c>
      <c r="H6" s="2" t="inlineStr">
        <is>
          <t>26.90</t>
        </is>
      </c>
      <c r="I6" s="2" t="inlineStr">
        <is>
          <t>Ready</t>
        </is>
      </c>
      <c r="J6" s="2" t="inlineStr">
        <is>
          <t>Zava Central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Medium</t>
        </is>
      </c>
      <c r="N6" s="2">
        <f>F6+K6</f>
        <v/>
      </c>
      <c r="O6" s="4">
        <f>(H6-G6-L6)/H6</f>
        <v/>
      </c>
      <c r="P6" s="3">
        <f>(G6+L6+0.85+0.65)/(1-0.32)</f>
        <v/>
      </c>
    </row>
    <row r="7">
      <c r="A7" s="2" t="inlineStr">
        <is>
          <t>Smart Launch Shirt</t>
        </is>
      </c>
      <c r="B7" s="2" t="inlineStr">
        <is>
          <t>Cobalt</t>
        </is>
      </c>
      <c r="C7" s="2" t="inlineStr">
        <is>
          <t>S</t>
        </is>
      </c>
      <c r="D7" s="2" t="inlineStr">
        <is>
          <t>900</t>
        </is>
      </c>
      <c r="E7" s="2" t="inlineStr">
        <is>
          <t>100</t>
        </is>
      </c>
      <c r="F7" s="2" t="inlineStr">
        <is>
          <t>800</t>
        </is>
      </c>
      <c r="G7" s="2" t="inlineStr">
        <is>
          <t>12.70</t>
        </is>
      </c>
      <c r="H7" s="2" t="inlineStr">
        <is>
          <t>24.90</t>
        </is>
      </c>
      <c r="I7" s="2" t="inlineStr">
        <is>
          <t>Partial</t>
        </is>
      </c>
      <c r="J7" s="2" t="inlineStr">
        <is>
          <t>Berlin Printworks</t>
        </is>
      </c>
      <c r="K7" s="2" t="inlineStr">
        <is>
          <t>1200</t>
        </is>
      </c>
      <c r="L7" s="2" t="inlineStr">
        <is>
          <t>1.80</t>
        </is>
      </c>
      <c r="M7" s="2" t="inlineStr">
        <is>
          <t>Low</t>
        </is>
      </c>
      <c r="N7" s="2">
        <f>F7+K7</f>
        <v/>
      </c>
      <c r="O7" s="4">
        <f>(H7-G7-L7)/H7</f>
        <v/>
      </c>
      <c r="P7" s="3">
        <f>(G7+L7+0.85+0.65)/(1-0.32)</f>
        <v/>
      </c>
    </row>
    <row r="8">
      <c r="A8" s="2" t="inlineStr">
        <is>
          <t>Smart Launch Shirt</t>
        </is>
      </c>
      <c r="B8" s="2" t="inlineStr">
        <is>
          <t>Cobalt</t>
        </is>
      </c>
      <c r="C8" s="2" t="inlineStr">
        <is>
          <t>M</t>
        </is>
      </c>
      <c r="D8" s="2" t="inlineStr">
        <is>
          <t>1100</t>
        </is>
      </c>
      <c r="E8" s="2" t="inlineStr">
        <is>
          <t>200</t>
        </is>
      </c>
      <c r="F8" s="2" t="inlineStr">
        <is>
          <t>900</t>
        </is>
      </c>
      <c r="G8" s="2" t="inlineStr">
        <is>
          <t>12.90</t>
        </is>
      </c>
      <c r="H8" s="2" t="inlineStr">
        <is>
          <t>24.90</t>
        </is>
      </c>
      <c r="I8" s="2" t="inlineStr">
        <is>
          <t>Partial</t>
        </is>
      </c>
      <c r="J8" s="2" t="inlineStr">
        <is>
          <t>Berlin Printworks</t>
        </is>
      </c>
      <c r="K8" s="2" t="inlineStr">
        <is>
          <t>1800</t>
        </is>
      </c>
      <c r="L8" s="2" t="inlineStr">
        <is>
          <t>1.80</t>
        </is>
      </c>
      <c r="M8" s="2" t="inlineStr">
        <is>
          <t>Low</t>
        </is>
      </c>
      <c r="N8" s="2">
        <f>F8+K8</f>
        <v/>
      </c>
      <c r="O8" s="4">
        <f>(H8-G8-L8)/H8</f>
        <v/>
      </c>
      <c r="P8" s="3">
        <f>(G8+L8+0.85+0.65)/(1-0.32)</f>
        <v/>
      </c>
    </row>
    <row r="9">
      <c r="A9" s="2" t="inlineStr">
        <is>
          <t>Smart Launch Shirt</t>
        </is>
      </c>
      <c r="B9" s="2" t="inlineStr">
        <is>
          <t>Cobalt</t>
        </is>
      </c>
      <c r="C9" s="2" t="inlineStr">
        <is>
          <t>L</t>
        </is>
      </c>
      <c r="D9" s="2" t="inlineStr">
        <is>
          <t>1050</t>
        </is>
      </c>
      <c r="E9" s="2" t="inlineStr">
        <is>
          <t>150</t>
        </is>
      </c>
      <c r="F9" s="2" t="inlineStr">
        <is>
          <t>900</t>
        </is>
      </c>
      <c r="G9" s="2" t="inlineStr">
        <is>
          <t>13.10</t>
        </is>
      </c>
      <c r="H9" s="2" t="inlineStr">
        <is>
          <t>24.90</t>
        </is>
      </c>
      <c r="I9" s="2" t="inlineStr">
        <is>
          <t>Partial</t>
        </is>
      </c>
      <c r="J9" s="2" t="inlineStr">
        <is>
          <t>Berlin Printworks</t>
        </is>
      </c>
      <c r="K9" s="2" t="inlineStr">
        <is>
          <t>1700</t>
        </is>
      </c>
      <c r="L9" s="2" t="inlineStr">
        <is>
          <t>1.80</t>
        </is>
      </c>
      <c r="M9" s="2" t="inlineStr">
        <is>
          <t>Low</t>
        </is>
      </c>
      <c r="N9" s="2">
        <f>F9+K9</f>
        <v/>
      </c>
      <c r="O9" s="4">
        <f>(H9-G9-L9)/H9</f>
        <v/>
      </c>
      <c r="P9" s="3">
        <f>(G9+L9+0.85+0.65)/(1-0.32)</f>
        <v/>
      </c>
    </row>
    <row r="10">
      <c r="A10" s="2" t="inlineStr">
        <is>
          <t>Smart Launch Shirt</t>
        </is>
      </c>
      <c r="B10" s="2" t="inlineStr">
        <is>
          <t>Cobalt</t>
        </is>
      </c>
      <c r="C10" s="2" t="inlineStr">
        <is>
          <t>XL</t>
        </is>
      </c>
      <c r="D10" s="2" t="inlineStr">
        <is>
          <t>650</t>
        </is>
      </c>
      <c r="E10" s="2" t="inlineStr">
        <is>
          <t>100</t>
        </is>
      </c>
      <c r="F10" s="2" t="inlineStr">
        <is>
          <t>550</t>
        </is>
      </c>
      <c r="G10" s="2" t="inlineStr">
        <is>
          <t>13.40</t>
        </is>
      </c>
      <c r="H10" s="2" t="inlineStr">
        <is>
          <t>25.90</t>
        </is>
      </c>
      <c r="I10" s="2" t="inlineStr">
        <is>
          <t>Partial</t>
        </is>
      </c>
      <c r="J10" s="2" t="inlineStr">
        <is>
          <t>Berlin Printworks</t>
        </is>
      </c>
      <c r="K10" s="2" t="inlineStr">
        <is>
          <t>1500</t>
        </is>
      </c>
      <c r="L10" s="2" t="inlineStr">
        <is>
          <t>1.80</t>
        </is>
      </c>
      <c r="M10" s="2" t="inlineStr">
        <is>
          <t>Medium</t>
        </is>
      </c>
      <c r="N10" s="2">
        <f>F10+K10</f>
        <v/>
      </c>
      <c r="O10" s="4">
        <f>(H10-G10-L10)/H10</f>
        <v/>
      </c>
      <c r="P10" s="3">
        <f>(G10+L10+0.85+0.65)/(1-0.32)</f>
        <v/>
      </c>
    </row>
    <row r="11">
      <c r="A11" s="2" t="inlineStr">
        <is>
          <t>Smart Launch Shirt</t>
        </is>
      </c>
      <c r="B11" s="2" t="inlineStr">
        <is>
          <t>Cobalt</t>
        </is>
      </c>
      <c r="C11" s="2" t="inlineStr">
        <is>
          <t>XXL</t>
        </is>
      </c>
      <c r="D11" s="2" t="inlineStr">
        <is>
          <t>300</t>
        </is>
      </c>
      <c r="E11" s="2" t="inlineStr">
        <is>
          <t>50</t>
        </is>
      </c>
      <c r="F11" s="2" t="inlineStr">
        <is>
          <t>250</t>
        </is>
      </c>
      <c r="G11" s="2" t="inlineStr">
        <is>
          <t>13.90</t>
        </is>
      </c>
      <c r="H11" s="2" t="inlineStr">
        <is>
          <t>26.90</t>
        </is>
      </c>
      <c r="I11" s="2" t="inlineStr">
        <is>
          <t>Partial</t>
        </is>
      </c>
      <c r="J11" s="2" t="inlineStr">
        <is>
          <t>Berlin Printworks</t>
        </is>
      </c>
      <c r="K11" s="2" t="inlineStr">
        <is>
          <t>1300</t>
        </is>
      </c>
      <c r="L11" s="2" t="inlineStr">
        <is>
          <t>1.80</t>
        </is>
      </c>
      <c r="M11" s="2" t="inlineStr">
        <is>
          <t>Medium</t>
        </is>
      </c>
      <c r="N11" s="2">
        <f>F11+K11</f>
        <v/>
      </c>
      <c r="O11" s="4">
        <f>(H11-G11-L11)/H11</f>
        <v/>
      </c>
      <c r="P11" s="3">
        <f>(G11+L11+0.85+0.65)/(1-0.32)</f>
        <v/>
      </c>
    </row>
    <row r="12">
      <c r="A12" s="2" t="inlineStr">
        <is>
          <t>Smart Launch Shirt</t>
        </is>
      </c>
      <c r="B12" s="2" t="inlineStr">
        <is>
          <t>White</t>
        </is>
      </c>
      <c r="C12" s="2" t="inlineStr">
        <is>
          <t>S</t>
        </is>
      </c>
      <c r="D12" s="2" t="inlineStr">
        <is>
          <t>700</t>
        </is>
      </c>
      <c r="E12" s="2" t="inlineStr">
        <is>
          <t>100</t>
        </is>
      </c>
      <c r="F12" s="2" t="inlineStr">
        <is>
          <t>600</t>
        </is>
      </c>
      <c r="G12" s="2" t="inlineStr">
        <is>
          <t>12.20</t>
        </is>
      </c>
      <c r="H12" s="2" t="inlineStr">
        <is>
          <t>23.90</t>
        </is>
      </c>
      <c r="I12" s="2" t="inlineStr">
        <is>
          <t>Pending</t>
        </is>
      </c>
      <c r="J12" s="2" t="inlineStr">
        <is>
          <t>Porto Apparel Lab</t>
        </is>
      </c>
      <c r="K12" s="2" t="inlineStr">
        <is>
          <t>900</t>
        </is>
      </c>
      <c r="L12" s="2" t="inlineStr">
        <is>
          <t>1.20</t>
        </is>
      </c>
      <c r="M12" s="2" t="inlineStr">
        <is>
          <t>Medium</t>
        </is>
      </c>
      <c r="N12" s="2">
        <f>F12+K12</f>
        <v/>
      </c>
      <c r="O12" s="4">
        <f>(H12-G12-L12)/H12</f>
        <v/>
      </c>
      <c r="P12" s="3">
        <f>(G12+L12+0.85+0.65)/(1-0.32)</f>
        <v/>
      </c>
    </row>
    <row r="13">
      <c r="A13" s="2" t="inlineStr">
        <is>
          <t>Smart Launch Shirt</t>
        </is>
      </c>
      <c r="B13" s="2" t="inlineStr">
        <is>
          <t>White</t>
        </is>
      </c>
      <c r="C13" s="2" t="inlineStr">
        <is>
          <t>M</t>
        </is>
      </c>
      <c r="D13" s="2" t="inlineStr">
        <is>
          <t>850</t>
        </is>
      </c>
      <c r="E13" s="2" t="inlineStr">
        <is>
          <t>150</t>
        </is>
      </c>
      <c r="F13" s="2" t="inlineStr">
        <is>
          <t>700</t>
        </is>
      </c>
      <c r="G13" s="2" t="inlineStr">
        <is>
          <t>12.40</t>
        </is>
      </c>
      <c r="H13" s="2" t="inlineStr">
        <is>
          <t>23.90</t>
        </is>
      </c>
      <c r="I13" s="2" t="inlineStr">
        <is>
          <t>Pending</t>
        </is>
      </c>
      <c r="J13" s="2" t="inlineStr">
        <is>
          <t>Porto Apparel Lab</t>
        </is>
      </c>
      <c r="K13" s="2" t="inlineStr">
        <is>
          <t>1200</t>
        </is>
      </c>
      <c r="L13" s="2" t="inlineStr">
        <is>
          <t>1.20</t>
        </is>
      </c>
      <c r="M13" s="2" t="inlineStr">
        <is>
          <t>Medium</t>
        </is>
      </c>
      <c r="N13" s="2">
        <f>F13+K13</f>
        <v/>
      </c>
      <c r="O13" s="4">
        <f>(H13-G13-L13)/H13</f>
        <v/>
      </c>
      <c r="P13" s="3">
        <f>(G13+L13+0.85+0.65)/(1-0.32)</f>
        <v/>
      </c>
    </row>
    <row r="14">
      <c r="A14" s="2" t="inlineStr">
        <is>
          <t>Smart Launch Shirt</t>
        </is>
      </c>
      <c r="B14" s="2" t="inlineStr">
        <is>
          <t>White</t>
        </is>
      </c>
      <c r="C14" s="2" t="inlineStr">
        <is>
          <t>L</t>
        </is>
      </c>
      <c r="D14" s="2" t="inlineStr">
        <is>
          <t>800</t>
        </is>
      </c>
      <c r="E14" s="2" t="inlineStr">
        <is>
          <t>125</t>
        </is>
      </c>
      <c r="F14" s="2" t="inlineStr">
        <is>
          <t>675</t>
        </is>
      </c>
      <c r="G14" s="2" t="inlineStr">
        <is>
          <t>12.60</t>
        </is>
      </c>
      <c r="H14" s="2" t="inlineStr">
        <is>
          <t>23.90</t>
        </is>
      </c>
      <c r="I14" s="2" t="inlineStr">
        <is>
          <t>Pending</t>
        </is>
      </c>
      <c r="J14" s="2" t="inlineStr">
        <is>
          <t>Porto Apparel Lab</t>
        </is>
      </c>
      <c r="K14" s="2" t="inlineStr">
        <is>
          <t>1200</t>
        </is>
      </c>
      <c r="L14" s="2" t="inlineStr">
        <is>
          <t>1.20</t>
        </is>
      </c>
      <c r="M14" s="2" t="inlineStr">
        <is>
          <t>Medium</t>
        </is>
      </c>
      <c r="N14" s="2">
        <f>F14+K14</f>
        <v/>
      </c>
      <c r="O14" s="4">
        <f>(H14-G14-L14)/H14</f>
        <v/>
      </c>
      <c r="P14" s="3">
        <f>(G14+L14+0.85+0.65)/(1-0.32)</f>
        <v/>
      </c>
    </row>
    <row r="15">
      <c r="A15" s="2" t="inlineStr">
        <is>
          <t>Smart Launch Shirt</t>
        </is>
      </c>
      <c r="B15" s="2" t="inlineStr">
        <is>
          <t>White</t>
        </is>
      </c>
      <c r="C15" s="2" t="inlineStr">
        <is>
          <t>XL</t>
        </is>
      </c>
      <c r="D15" s="2" t="inlineStr">
        <is>
          <t>500</t>
        </is>
      </c>
      <c r="E15" s="2" t="inlineStr">
        <is>
          <t>75</t>
        </is>
      </c>
      <c r="F15" s="2" t="inlineStr">
        <is>
          <t>425</t>
        </is>
      </c>
      <c r="G15" s="2" t="inlineStr">
        <is>
          <t>12.90</t>
        </is>
      </c>
      <c r="H15" s="2" t="inlineStr">
        <is>
          <t>24.90</t>
        </is>
      </c>
      <c r="I15" s="2" t="inlineStr">
        <is>
          <t>Pending</t>
        </is>
      </c>
      <c r="J15" s="2" t="inlineStr">
        <is>
          <t>Porto Apparel Lab</t>
        </is>
      </c>
      <c r="K15" s="2" t="inlineStr">
        <is>
          <t>900</t>
        </is>
      </c>
      <c r="L15" s="2" t="inlineStr">
        <is>
          <t>1.20</t>
        </is>
      </c>
      <c r="M15" s="2" t="inlineStr">
        <is>
          <t>High</t>
        </is>
      </c>
      <c r="N15" s="2">
        <f>F15+K15</f>
        <v/>
      </c>
      <c r="O15" s="4">
        <f>(H15-G15-L15)/H15</f>
        <v/>
      </c>
      <c r="P15" s="3">
        <f>(G15+L15+0.85+0.65)/(1-0.32)</f>
        <v/>
      </c>
    </row>
    <row r="16">
      <c r="A16" s="2" t="inlineStr">
        <is>
          <t>Smart Launch Shirt</t>
        </is>
      </c>
      <c r="B16" s="2" t="inlineStr">
        <is>
          <t>White</t>
        </is>
      </c>
      <c r="C16" s="2" t="inlineStr">
        <is>
          <t>XXL</t>
        </is>
      </c>
      <c r="D16" s="2" t="inlineStr">
        <is>
          <t>250</t>
        </is>
      </c>
      <c r="E16" s="2" t="inlineStr">
        <is>
          <t>50</t>
        </is>
      </c>
      <c r="F16" s="2" t="inlineStr">
        <is>
          <t>200</t>
        </is>
      </c>
      <c r="G16" s="2" t="inlineStr">
        <is>
          <t>13.30</t>
        </is>
      </c>
      <c r="H16" s="2" t="inlineStr">
        <is>
          <t>25.90</t>
        </is>
      </c>
      <c r="I16" s="2" t="inlineStr">
        <is>
          <t>Pending</t>
        </is>
      </c>
      <c r="J16" s="2" t="inlineStr">
        <is>
          <t>Porto Apparel Lab</t>
        </is>
      </c>
      <c r="K16" s="2" t="inlineStr">
        <is>
          <t>800</t>
        </is>
      </c>
      <c r="L16" s="2" t="inlineStr">
        <is>
          <t>1.20</t>
        </is>
      </c>
      <c r="M16" s="2" t="inlineStr">
        <is>
          <t>High</t>
        </is>
      </c>
      <c r="N16" s="2">
        <f>F16+K16</f>
        <v/>
      </c>
      <c r="O16" s="4">
        <f>(H16-G16-L16)/H16</f>
        <v/>
      </c>
      <c r="P16" s="3">
        <f>(G16+L16+0.85+0.65)/(1-0.32)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RequestId</t>
        </is>
      </c>
      <c r="B1" s="1" t="inlineStr">
        <is>
          <t>Customer</t>
        </is>
      </c>
      <c r="C1" s="1" t="inlineStr">
        <is>
          <t>EventName</t>
        </is>
      </c>
      <c r="D1" s="1" t="inlineStr">
        <is>
          <t>Quantity</t>
        </is>
      </c>
      <c r="E1" s="1" t="inlineStr">
        <is>
          <t>TargetDeliveryDate</t>
        </is>
      </c>
      <c r="F1" s="1" t="inlineStr">
        <is>
          <t>ResponseDue</t>
        </is>
      </c>
      <c r="G1" s="1" t="inlineStr">
        <is>
          <t>ShipToHub</t>
        </is>
      </c>
      <c r="H1" s="1" t="inlineStr">
        <is>
          <t>Priority</t>
        </is>
      </c>
      <c r="I1" s="1" t="inlineStr">
        <is>
          <t>RequestedColors</t>
        </is>
      </c>
      <c r="J1" s="1" t="inlineStr">
        <is>
          <t>RequestedSizes</t>
        </is>
      </c>
      <c r="K1" s="1" t="inlineStr">
        <is>
          <t>CommercialSensitivity</t>
        </is>
      </c>
      <c r="L1" s="1" t="inlineStr">
        <is>
          <t>Notes</t>
        </is>
      </c>
    </row>
    <row r="2">
      <c r="A2" s="2" t="inlineStr">
        <is>
          <t>ZO-1042</t>
        </is>
      </c>
      <c r="B2" s="2" t="inlineStr">
        <is>
          <t>Microsoft Events</t>
        </is>
      </c>
      <c r="C2" s="2" t="inlineStr">
        <is>
          <t>AI Launch Summit</t>
        </is>
      </c>
      <c r="D2" s="2" t="inlineStr">
        <is>
          <t>20000</t>
        </is>
      </c>
      <c r="E2" s="2" t="inlineStr">
        <is>
          <t>2026-06-16</t>
        </is>
      </c>
      <c r="F2" s="2" t="inlineStr">
        <is>
          <t>2026-06-02 17:00</t>
        </is>
      </c>
      <c r="G2" s="2" t="inlineStr">
        <is>
          <t>Seattle;Dublin;Singapore</t>
        </is>
      </c>
      <c r="H2" s="2" t="inlineStr">
        <is>
          <t>Critical</t>
        </is>
      </c>
      <c r="I2" s="2" t="inlineStr">
        <is>
          <t>Black;Cobalt;White</t>
        </is>
      </c>
      <c r="J2" s="2" t="inlineStr">
        <is>
          <t>S;M;L;XL;XXL</t>
        </is>
      </c>
      <c r="K2" s="2" t="inlineStr">
        <is>
          <t>High</t>
        </is>
      </c>
      <c r="L2" s="2" t="inlineStr">
        <is>
          <t>Customer values reliable delivery over lowest price; wants one clear recommendation.</t>
        </is>
      </c>
    </row>
    <row r="3">
      <c r="A3" s="2" t="inlineStr">
        <is>
          <t>ZO-1043</t>
        </is>
      </c>
      <c r="B3" s="2" t="inlineStr">
        <is>
          <t>Northwind Sports</t>
        </is>
      </c>
      <c r="C3" s="2" t="inlineStr">
        <is>
          <t>Campus Wellness Week</t>
        </is>
      </c>
      <c r="D3" s="2" t="inlineStr">
        <is>
          <t>4500</t>
        </is>
      </c>
      <c r="E3" s="2" t="inlineStr">
        <is>
          <t>2026-06-25</t>
        </is>
      </c>
      <c r="F3" s="2" t="inlineStr">
        <is>
          <t>2026-06-04 12:00</t>
        </is>
      </c>
      <c r="G3" s="2" t="inlineStr">
        <is>
          <t>Amsterdam</t>
        </is>
      </c>
      <c r="H3" s="2" t="inlineStr">
        <is>
          <t>Medium</t>
        </is>
      </c>
      <c r="I3" s="2" t="inlineStr">
        <is>
          <t>Black;Cobalt</t>
        </is>
      </c>
      <c r="J3" s="2" t="inlineStr">
        <is>
          <t>S;M;L;XL</t>
        </is>
      </c>
      <c r="K3" s="2" t="inlineStr">
        <is>
          <t>Medium</t>
        </is>
      </c>
      <c r="L3" s="2" t="inlineStr">
        <is>
          <t>Can flex by 3 days; no NFC activation required.</t>
        </is>
      </c>
    </row>
    <row r="4">
      <c r="A4" s="2" t="inlineStr">
        <is>
          <t>ZO-1044</t>
        </is>
      </c>
      <c r="B4" s="2" t="inlineStr">
        <is>
          <t>Contoso Retail</t>
        </is>
      </c>
      <c r="C4" s="2" t="inlineStr">
        <is>
          <t>Store Associate Launch</t>
        </is>
      </c>
      <c r="D4" s="2" t="inlineStr">
        <is>
          <t>8500</t>
        </is>
      </c>
      <c r="E4" s="2" t="inlineStr">
        <is>
          <t>2026-06-21</t>
        </is>
      </c>
      <c r="F4" s="2" t="inlineStr">
        <is>
          <t>2026-06-03 15:00</t>
        </is>
      </c>
      <c r="G4" s="2" t="inlineStr">
        <is>
          <t>Chicago</t>
        </is>
      </c>
      <c r="H4" s="2" t="inlineStr">
        <is>
          <t>High</t>
        </is>
      </c>
      <c r="I4" s="2" t="inlineStr">
        <is>
          <t>Black;White</t>
        </is>
      </c>
      <c r="J4" s="2" t="inlineStr">
        <is>
          <t>M;L;XL</t>
        </is>
      </c>
      <c r="K4" s="2" t="inlineStr">
        <is>
          <t>High</t>
        </is>
      </c>
      <c r="L4" s="2" t="inlineStr">
        <is>
          <t>Requires manager approval if price exceeds EUR 25.00.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RiskId</t>
        </is>
      </c>
      <c r="B1" s="1" t="inlineStr">
        <is>
          <t>Area</t>
        </is>
      </c>
      <c r="C1" s="1" t="inlineStr">
        <is>
          <t>Risk</t>
        </is>
      </c>
      <c r="D1" s="1" t="inlineStr">
        <is>
          <t>Impact</t>
        </is>
      </c>
      <c r="E1" s="1" t="inlineStr">
        <is>
          <t>Probability</t>
        </is>
      </c>
      <c r="F1" s="1" t="inlineStr">
        <is>
          <t>Owner</t>
        </is>
      </c>
      <c r="G1" s="1" t="inlineStr">
        <is>
          <t>Mitigation</t>
        </is>
      </c>
      <c r="H1" s="1" t="inlineStr">
        <is>
          <t>Status</t>
        </is>
      </c>
    </row>
    <row r="2">
      <c r="A2" s="2" t="inlineStr">
        <is>
          <t>R-01</t>
        </is>
      </c>
      <c r="B2" s="2" t="inlineStr">
        <is>
          <t>NFC activation</t>
        </is>
      </c>
      <c r="C2" s="2" t="inlineStr">
        <is>
          <t>NFC tag activation capacity may delay final packing</t>
        </is>
      </c>
      <c r="D2" s="2" t="inlineStr">
        <is>
          <t>High</t>
        </is>
      </c>
      <c r="E2" s="2" t="inlineStr">
        <is>
          <t>Medium</t>
        </is>
      </c>
      <c r="F2" s="2" t="inlineStr">
        <is>
          <t>Omar Haddad</t>
        </is>
      </c>
      <c r="G2" s="2" t="inlineStr">
        <is>
          <t>Reserve evening activation slot; pre-stage Cobalt and Black runs first</t>
        </is>
      </c>
      <c r="H2" s="2" t="inlineStr">
        <is>
          <t>Open</t>
        </is>
      </c>
    </row>
    <row r="3">
      <c r="A3" s="2" t="inlineStr">
        <is>
          <t>R-02</t>
        </is>
      </c>
      <c r="B3" s="2" t="inlineStr">
        <is>
          <t>Supply chain</t>
        </is>
      </c>
      <c r="C3" s="2" t="inlineStr">
        <is>
          <t>White XL and XXL availability below demand buffer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Omar Haddad</t>
        </is>
      </c>
      <c r="G3" s="2" t="inlineStr">
        <is>
          <t>Offer substitution rules; cap White XL/XXL mix; disclose risk to customer</t>
        </is>
      </c>
      <c r="H3" s="2" t="inlineStr">
        <is>
          <t>Open</t>
        </is>
      </c>
    </row>
    <row r="4">
      <c r="A4" s="2" t="inlineStr">
        <is>
          <t>R-03</t>
        </is>
      </c>
      <c r="B4" s="2" t="inlineStr">
        <is>
          <t>Freight</t>
        </is>
      </c>
      <c r="C4" s="2" t="inlineStr">
        <is>
          <t>Singapore hub has customs clearance uncertainty</t>
        </is>
      </c>
      <c r="D4" s="2" t="inlineStr">
        <is>
          <t>Medium</t>
        </is>
      </c>
      <c r="E4" s="2" t="inlineStr">
        <is>
          <t>Medium</t>
        </is>
      </c>
      <c r="F4" s="2" t="inlineStr">
        <is>
          <t>Rafael Ortiz</t>
        </is>
      </c>
      <c r="G4" s="2" t="inlineStr">
        <is>
          <t>Ship 48 hours earlier; use premium freight lane</t>
        </is>
      </c>
      <c r="H4" s="2" t="inlineStr">
        <is>
          <t>Open</t>
        </is>
      </c>
    </row>
    <row r="5">
      <c r="A5" s="2" t="inlineStr">
        <is>
          <t>R-04</t>
        </is>
      </c>
      <c r="B5" s="2" t="inlineStr">
        <is>
          <t>Finance</t>
        </is>
      </c>
      <c r="C5" s="2" t="inlineStr">
        <is>
          <t>Expedite fees can erode gross margin</t>
        </is>
      </c>
      <c r="D5" s="2" t="inlineStr">
        <is>
          <t>High</t>
        </is>
      </c>
      <c r="E5" s="2" t="inlineStr">
        <is>
          <t>Medium</t>
        </is>
      </c>
      <c r="F5" s="2" t="inlineStr">
        <is>
          <t>Lena Vogt</t>
        </is>
      </c>
      <c r="G5" s="2" t="inlineStr">
        <is>
          <t>Set pricefloor at or above EUR 25.80; approve exception only with COO sign-off</t>
        </is>
      </c>
      <c r="H5" s="2" t="inlineStr">
        <is>
          <t>Open</t>
        </is>
      </c>
    </row>
    <row r="6">
      <c r="A6" s="2" t="inlineStr">
        <is>
          <t>R-05</t>
        </is>
      </c>
      <c r="B6" s="2" t="inlineStr">
        <is>
          <t>Customer comms</t>
        </is>
      </c>
      <c r="C6" s="2" t="inlineStr">
        <is>
          <t>Overpromising before partner confirmation</t>
        </is>
      </c>
      <c r="D6" s="2" t="inlineStr">
        <is>
          <t>High</t>
        </is>
      </c>
      <c r="E6" s="2" t="inlineStr">
        <is>
          <t>Low</t>
        </is>
      </c>
      <c r="F6" s="2" t="inlineStr">
        <is>
          <t>Maya Chen</t>
        </is>
      </c>
      <c r="G6" s="2" t="inlineStr">
        <is>
          <t>Use conditional commitment language until partner capacity is locked</t>
        </is>
      </c>
      <c r="H6" s="2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Owner</t>
        </is>
      </c>
      <c r="E1" s="1" t="inlineStr">
        <is>
          <t>Source</t>
        </is>
      </c>
    </row>
    <row r="2">
      <c r="A2" s="2" t="inlineStr">
        <is>
          <t>Minimum gross margin</t>
        </is>
      </c>
      <c r="B2" s="2" t="inlineStr">
        <is>
          <t>32</t>
        </is>
      </c>
      <c r="C2" s="2" t="inlineStr">
        <is>
          <t>Percent</t>
        </is>
      </c>
      <c r="D2" s="2" t="inlineStr">
        <is>
          <t>Lena Vogt</t>
        </is>
      </c>
      <c r="E2" s="2" t="inlineStr">
        <is>
          <t>Finance policy FY26</t>
        </is>
      </c>
    </row>
    <row r="3">
      <c r="A3" s="2" t="inlineStr">
        <is>
          <t>NFC activation cost</t>
        </is>
      </c>
      <c r="B3" s="2" t="inlineStr">
        <is>
          <t>0.85</t>
        </is>
      </c>
      <c r="C3" s="2" t="inlineStr">
        <is>
          <t>EUR per unit</t>
        </is>
      </c>
      <c r="D3" s="2" t="inlineStr">
        <is>
          <t>Lena Vogt</t>
        </is>
      </c>
      <c r="E3" s="2" t="inlineStr">
        <is>
          <t>Operations costing</t>
        </is>
      </c>
    </row>
    <row r="4">
      <c r="A4" s="2" t="inlineStr">
        <is>
          <t>Premium freight buffer</t>
        </is>
      </c>
      <c r="B4" s="2" t="inlineStr">
        <is>
          <t>0.65</t>
        </is>
      </c>
      <c r="C4" s="2" t="inlineStr">
        <is>
          <t>EUR per unit</t>
        </is>
      </c>
      <c r="D4" s="2" t="inlineStr">
        <is>
          <t>Rafael Ortiz</t>
        </is>
      </c>
      <c r="E4" s="2" t="inlineStr">
        <is>
          <t>Freight planning</t>
        </is>
      </c>
    </row>
    <row r="5">
      <c r="A5" s="2" t="inlineStr">
        <is>
          <t>Sales discount ceiling</t>
        </is>
      </c>
      <c r="B5" s="2" t="inlineStr">
        <is>
          <t>4</t>
        </is>
      </c>
      <c r="C5" s="2" t="inlineStr">
        <is>
          <t>Percent</t>
        </is>
      </c>
      <c r="D5" s="2" t="inlineStr">
        <is>
          <t>Maya Chen</t>
        </is>
      </c>
      <c r="E5" s="2" t="inlineStr">
        <is>
          <t>Sales operations policy</t>
        </is>
      </c>
    </row>
    <row r="6">
      <c r="A6" s="2" t="inlineStr">
        <is>
          <t>COO approval threshold</t>
        </is>
      </c>
      <c r="B6" s="2" t="inlineStr">
        <is>
          <t>500000</t>
        </is>
      </c>
      <c r="C6" s="2" t="inlineStr">
        <is>
          <t>EUR total order value</t>
        </is>
      </c>
      <c r="D6" s="2" t="inlineStr">
        <is>
          <t>Zoe Keller</t>
        </is>
      </c>
      <c r="E6" s="2" t="inlineStr">
        <is>
          <t>Executive approval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2026-06-02T12:44:14Z</dcterms:created>
  <dcterms:modified xmlns:dcterms="http://purl.org/dc/terms/" xmlns:xsi="http://www.w3.org/2001/XMLSchema-instance" xsi:type="dcterms:W3CDTF">2026-06-02T12:44:14Z</dcterms:modified>
</cp:coreProperties>
</file>