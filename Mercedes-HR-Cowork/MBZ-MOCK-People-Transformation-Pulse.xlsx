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ualification Pulse" sheetId="1" state="visible" r:id="rId3"/>
    <sheet name="Executive Summary" sheetId="2" state="visible" r:id="rId4"/>
    <sheet name="Learning Trend" sheetId="3" state="visible" r:id="rId5"/>
    <sheet name="Engagement Pulse" sheetId="4" state="visible" r:id="rId6"/>
    <sheet name="Qualification Sprint" sheetId="5" state="visible" r:id="rId7"/>
    <sheet name="Demo Contacts" sheetId="6" state="visible" r:id="rId8"/>
  </sheets>
  <definedNames>
    <definedName function="false" hidden="true" localSheetId="5" name="_xlnm._FilterDatabase" vbProcedure="false">'Demo Contacts'!$A$4:$E$8</definedName>
    <definedName function="false" hidden="true" localSheetId="3" name="_xlnm._FilterDatabase" vbProcedure="false">'Engagement Pulse'!$A$4:$G$8</definedName>
    <definedName function="false" hidden="true" localSheetId="1" name="_xlnm._FilterDatabase" vbProcedure="false">'Executive Summary'!$A$4:$C$11</definedName>
    <definedName function="false" hidden="true" localSheetId="2" name="_xlnm._FilterDatabase" vbProcedure="false">'Learning Trend'!$A$4:$F$9</definedName>
    <definedName function="false" hidden="true" localSheetId="0" name="_xlnm._FilterDatabase" vbProcedure="false">'Qualification Pulse'!$A$4:$J$9</definedName>
    <definedName function="false" hidden="true" localSheetId="4" name="_xlnm._FilterDatabase" vbProcedure="false">'Qualification Sprint'!$A$4:$J$10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GitHub Copilot</author>
  </authors>
  <commentList>
    <comment ref="B5" authorId="0">
      <text>
        <r>
          <rPr>
            <sz val="10"/>
            <rFont val="Arial"/>
            <family val="2"/>
          </rPr>
          <t xml:space="preserve">Source: fictional mock dataset created for the Mercedes-Benz HR Cowork demo, 2026-09-08.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2</xdr:rowOff>
              </xdr:from>
              <xdr:to>
                <xdr:col>1</xdr:col>
                <xdr:colOff>-57</xdr:colOff>
                <xdr:row>2</xdr:row>
                <xdr:rowOff>39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<sst xmlns="http://schemas.openxmlformats.org/spreadsheetml/2006/main" count="178" uniqueCount="140">
  <si>
    <t xml:space="preserve">FICTIONAL MOCK DATA — NOT AN ACTUAL MERCEDES-BENZ PROCESS</t>
  </si>
  <si>
    <t xml:space="preserve">People Transformation Pulse</t>
  </si>
  <si>
    <t xml:space="preserve">Aggregated qualification, learning, engagement, and manager-readiness inputs. All metrics are synthetic and groups contain at least 25 people.</t>
  </si>
  <si>
    <t xml:space="preserve">Capability area</t>
  </si>
  <si>
    <t xml:space="preserve">Eligible population</t>
  </si>
  <si>
    <t xml:space="preserve">Completed learners</t>
  </si>
  <si>
    <t xml:space="preserve">Completion rate</t>
  </si>
  <si>
    <t xml:space="preserve">Target rate</t>
  </si>
  <si>
    <t xml:space="preserve">Engagement favorable</t>
  </si>
  <si>
    <t xml:space="preserve">Manager readiness</t>
  </si>
  <si>
    <t xml:space="preserve">Priority</t>
  </si>
  <si>
    <t xml:space="preserve">Gap to target</t>
  </si>
  <si>
    <t xml:space="preserve">Source label</t>
  </si>
  <si>
    <t xml:space="preserve">AI-enabled engineering tools</t>
  </si>
  <si>
    <t xml:space="preserve">High</t>
  </si>
  <si>
    <t xml:space="preserve">MOCK Learning Hub + pulse survey</t>
  </si>
  <si>
    <t xml:space="preserve">Digital manufacturing and quality</t>
  </si>
  <si>
    <t xml:space="preserve">MOCK Academy + operations pulse</t>
  </si>
  <si>
    <t xml:space="preserve">Software-defined vehicle fundamentals</t>
  </si>
  <si>
    <t xml:space="preserve">Medium</t>
  </si>
  <si>
    <t xml:space="preserve">MOCK Learning Hub</t>
  </si>
  <si>
    <t xml:space="preserve">Battery and eDrive systems</t>
  </si>
  <si>
    <t xml:space="preserve">Monitor</t>
  </si>
  <si>
    <t xml:space="preserve">MOCK Technical Academy</t>
  </si>
  <si>
    <t xml:space="preserve">Data literacy for HR and operations</t>
  </si>
  <si>
    <t xml:space="preserve">MOCK Learning Hub + HR pulse</t>
  </si>
  <si>
    <t xml:space="preserve">Executive Summary Inputs</t>
  </si>
  <si>
    <t xml:space="preserve">Formula-driven roll-up for the live demo. These values recalculate when the synthetic source rows change.</t>
  </si>
  <si>
    <t xml:space="preserve">Metric</t>
  </si>
  <si>
    <t xml:space="preserve">Value</t>
  </si>
  <si>
    <t xml:space="preserve">Unit</t>
  </si>
  <si>
    <t xml:space="preserve">Total eligible population</t>
  </si>
  <si>
    <t xml:space="preserve">people</t>
  </si>
  <si>
    <t xml:space="preserve">Total completed learners</t>
  </si>
  <si>
    <t xml:space="preserve">Weighted completion rate</t>
  </si>
  <si>
    <t xml:space="preserve">rate</t>
  </si>
  <si>
    <t xml:space="preserve">Average target rate</t>
  </si>
  <si>
    <t xml:space="preserve">Average engagement favorable</t>
  </si>
  <si>
    <t xml:space="preserve">Average manager readiness</t>
  </si>
  <si>
    <t xml:space="preserve">High-priority capability areas</t>
  </si>
  <si>
    <t xml:space="preserve">count</t>
  </si>
  <si>
    <t xml:space="preserve">Learning Participation Trend</t>
  </si>
  <si>
    <t xml:space="preserve">Synthetic quarterly participation by capability area; no individual-level records.</t>
  </si>
  <si>
    <t xml:space="preserve">2025 Q4</t>
  </si>
  <si>
    <t xml:space="preserve">2026 Q1</t>
  </si>
  <si>
    <t xml:space="preserve">2026 Q2</t>
  </si>
  <si>
    <t xml:space="preserve">2026 Q3</t>
  </si>
  <si>
    <t xml:space="preserve">Trend note</t>
  </si>
  <si>
    <t xml:space="preserve">Improving; target gap remains material</t>
  </si>
  <si>
    <t xml:space="preserve">Improving; manager readiness is uneven</t>
  </si>
  <si>
    <t xml:space="preserve">Near target</t>
  </si>
  <si>
    <t xml:space="preserve">On track</t>
  </si>
  <si>
    <t xml:space="preserve">Near target; reinforce practice</t>
  </si>
  <si>
    <t xml:space="preserve">Aggregated Engagement Signals</t>
  </si>
  <si>
    <t xml:space="preserve">Synthetic results by organizational population. Minimum group size: 120. No individual inference is permitted.</t>
  </si>
  <si>
    <t xml:space="preserve">Population</t>
  </si>
  <si>
    <t xml:space="preserve">Respondents</t>
  </si>
  <si>
    <t xml:space="preserve">Change clarity favorable</t>
  </si>
  <si>
    <t xml:space="preserve">Learning access favorable</t>
  </si>
  <si>
    <t xml:space="preserve">Manager support favorable</t>
  </si>
  <si>
    <t xml:space="preserve">Primary aggregate signal</t>
  </si>
  <si>
    <t xml:space="preserve">Engineering populations</t>
  </si>
  <si>
    <t xml:space="preserve">Need clearer role-based learning paths</t>
  </si>
  <si>
    <t xml:space="preserve">MOCK pulse survey</t>
  </si>
  <si>
    <t xml:space="preserve">Production and quality populations</t>
  </si>
  <si>
    <t xml:space="preserve">Need protected learning time</t>
  </si>
  <si>
    <t xml:space="preserve">HR and shared services populations</t>
  </si>
  <si>
    <t xml:space="preserve">Managers need coaching materials</t>
  </si>
  <si>
    <t xml:space="preserve">People managers</t>
  </si>
  <si>
    <t xml:space="preserve">Need decision rights and escalation clarity</t>
  </si>
  <si>
    <t xml:space="preserve">MOCK manager pulse</t>
  </si>
  <si>
    <t xml:space="preserve">Six-Week Qualification Sprint Inputs</t>
  </si>
  <si>
    <t xml:space="preserve">Fictional operating constraints and workstreams for HR Operations. Dates and processes are synthetic.</t>
  </si>
  <si>
    <t xml:space="preserve">Workstream</t>
  </si>
  <si>
    <t xml:space="preserve">Accountable role</t>
  </si>
  <si>
    <t xml:space="preserve">Supporting role</t>
  </si>
  <si>
    <t xml:space="preserve">Deliverable</t>
  </si>
  <si>
    <t xml:space="preserve">Start date</t>
  </si>
  <si>
    <t xml:space="preserve">Due date</t>
  </si>
  <si>
    <t xml:space="preserve">Dependency</t>
  </si>
  <si>
    <t xml:space="preserve">Evidence of completion</t>
  </si>
  <si>
    <t xml:space="preserve">Status</t>
  </si>
  <si>
    <t xml:space="preserve">Constraint</t>
  </si>
  <si>
    <t xml:space="preserve">Confirm cohort and role groups</t>
  </si>
  <si>
    <t xml:space="preserve">HR Operations Lead</t>
  </si>
  <si>
    <t xml:space="preserve">HR Business Partner</t>
  </si>
  <si>
    <t xml:space="preserve">Approved aggregate cohort definition</t>
  </si>
  <si>
    <t xml:space="preserve">Executive priority</t>
  </si>
  <si>
    <t xml:space="preserve">Signed aggregate cohort definition</t>
  </si>
  <si>
    <t xml:space="preserve">Not started</t>
  </si>
  <si>
    <t xml:space="preserve">No individual ranking</t>
  </si>
  <si>
    <t xml:space="preserve">Finalize role-based curriculum</t>
  </si>
  <si>
    <t xml:space="preserve">Learning Program Manager</t>
  </si>
  <si>
    <t xml:space="preserve">Technical Academy Lead</t>
  </si>
  <si>
    <t xml:space="preserve">Six-week curriculum map</t>
  </si>
  <si>
    <t xml:space="preserve">Capability gaps</t>
  </si>
  <si>
    <t xml:space="preserve">Published curriculum map</t>
  </si>
  <si>
    <t xml:space="preserve">Use existing learning catalog first</t>
  </si>
  <si>
    <t xml:space="preserve">Prepare manager enablement</t>
  </si>
  <si>
    <t xml:space="preserve">Change Communications Lead</t>
  </si>
  <si>
    <t xml:space="preserve">Manager briefing and FAQ</t>
  </si>
  <si>
    <t xml:space="preserve">Curriculum draft</t>
  </si>
  <si>
    <t xml:space="preserve">Briefing pack ready</t>
  </si>
  <si>
    <t xml:space="preserve">30-minute manager format</t>
  </si>
  <si>
    <t xml:space="preserve">Launch learner communications</t>
  </si>
  <si>
    <t xml:space="preserve">Role-based launch messages</t>
  </si>
  <si>
    <t xml:space="preserve">Cohort and curriculum approved</t>
  </si>
  <si>
    <t xml:space="preserve">Approved communication drafts</t>
  </si>
  <si>
    <t xml:space="preserve">Approval before send</t>
  </si>
  <si>
    <t xml:space="preserve">Run weekly progress pulse</t>
  </si>
  <si>
    <t xml:space="preserve">People Analytics Lead</t>
  </si>
  <si>
    <t xml:space="preserve">Aggregate weekly pulse dashboard</t>
  </si>
  <si>
    <t xml:space="preserve">Launch complete</t>
  </si>
  <si>
    <t xml:space="preserve">Weekly aggregate dashboard</t>
  </si>
  <si>
    <t xml:space="preserve">Minimum group size 25</t>
  </si>
  <si>
    <t xml:space="preserve">Close and recommend next cycle</t>
  </si>
  <si>
    <t xml:space="preserve">Outcome review and next-cycle recommendation</t>
  </si>
  <si>
    <t xml:space="preserve">Weekly pulse data</t>
  </si>
  <si>
    <t xml:space="preserve">Leadership review pack</t>
  </si>
  <si>
    <t xml:space="preserve">No individual performance decisions</t>
  </si>
  <si>
    <t xml:space="preserve">Demo Tenant Contacts</t>
  </si>
  <si>
    <t xml:space="preserve">Synthetic demo personas mapped to existing CDX tenant accounts so approval-gated email, Teams, and calendar actions can be rehearsed.</t>
  </si>
  <si>
    <t xml:space="preserve">Persona</t>
  </si>
  <si>
    <t xml:space="preserve">Demo role</t>
  </si>
  <si>
    <t xml:space="preserve">UPN</t>
  </si>
  <si>
    <t xml:space="preserve">Use in live demo</t>
  </si>
  <si>
    <t xml:space="preserve">Communication rule</t>
  </si>
  <si>
    <t xml:space="preserve">Preston Morales</t>
  </si>
  <si>
    <t xml:space="preserve">PrestonM@M365CPI98544940.onmicrosoft.com</t>
  </si>
  <si>
    <t xml:space="preserve">Owner email, Teams coordination, meetings</t>
  </si>
  <si>
    <t xml:space="preserve">Send only after visible approval</t>
  </si>
  <si>
    <t xml:space="preserve">Selma Nyberg</t>
  </si>
  <si>
    <t xml:space="preserve">SelmaN@M365CPI98544940.onmicrosoft.com</t>
  </si>
  <si>
    <t xml:space="preserve">Alex Weyer</t>
  </si>
  <si>
    <t xml:space="preserve">AlexW@M365CPI98544940.onmicrosoft.com</t>
  </si>
  <si>
    <t xml:space="preserve">Leila Goncalves</t>
  </si>
  <si>
    <t xml:space="preserve">HR Executive / presenter</t>
  </si>
  <si>
    <t xml:space="preserve">LeilaG@M365CPI98544940.onmicrosoft.com</t>
  </si>
  <si>
    <t xml:space="preserve">Signed-in demo user</t>
  </si>
  <si>
    <t xml:space="preserve">Own permissions 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</si>
</sst>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dd\ mmm\ 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0B0C0D"/>
        <bgColor rgb="FF000000"/>
      </patternFill>
    </fill>
    <fill>
      <patternFill patternType="solid">
        <fgColor rgb="FF0078D4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078D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3" type="wholeTable"/>
      <tableStyleElement dxfId="4" type="firstColumnStripe"/>
      <tableStyleElement dxfId="5" type="firstRowStripe"/>
      <tableStyleElement dxfId="6" type="lastColumn"/>
      <tableStyleElement dxfId="7" type="firstColumn"/>
      <tableStyleElement dxfId="8" type="headerRow"/>
      <tableStyleElement dxfId="9" type="totalRow"/>
    </tableStyle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7C7"/>
      <rgbColor rgb="FF878787"/>
      <rgbColor rgb="FF9999FF"/>
      <rgbColor rgb="FFC0504D"/>
      <rgbColor rgb="FFF9F9F9"/>
      <rgbColor rgb="FFCCFFFF"/>
      <rgbColor rgb="FF660066"/>
      <rgbColor rgb="FFFF8080"/>
      <rgbColor rgb="FF0078D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0C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Completion versus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'Qualification Pulse'!D4</c:f>
              <c:strCache>
                <c:ptCount val="1"/>
                <c:pt idx="0">
                  <c:v>Completion rate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'Qualification Pulse'!$A$5:$A$9</c:f>
              <c:strCache>
                <c:ptCount val="5"/>
                <c:pt idx="0">
                  <c:v>AI-enabled engineering tools</c:v>
                </c:pt>
                <c:pt idx="1">
                  <c:v>Digital manufacturing and quality</c:v>
                </c:pt>
                <c:pt idx="2">
                  <c:v>Software-defined vehicle fundamentals</c:v>
                </c:pt>
                <c:pt idx="3">
                  <c:v>Battery and eDrive systems</c:v>
                </c:pt>
                <c:pt idx="4">
                  <c:v>Data literacy for HR and operations</c:v>
                </c:pt>
              </c:strCache>
            </c:strRef>
          </c:cat>
          <c:val>
            <c:numRef>
              <c:f>'Qualification Pulse'!$D$5:$D$9</c:f>
              <c:numCache>
                <c:formatCode>0.0%</c:formatCode>
                <c:ptCount val="5"/>
                <c:pt idx="0">
                  <c:v>0.62</c:v>
                </c:pt>
                <c:pt idx="1">
                  <c:v>0.7</c:v>
                </c:pt>
                <c:pt idx="2">
                  <c:v>0.8</c:v>
                </c:pt>
                <c:pt idx="3">
                  <c:v>0.840625</c:v>
                </c:pt>
                <c:pt idx="4">
                  <c:v>0.780769230769231</c:v>
                </c:pt>
              </c:numCache>
            </c:numRef>
          </c:val>
        </c:ser>
        <c:ser>
          <c:idx val="1"/>
          <c:order val="1"/>
          <c:tx>
            <c:strRef>
              <c:f>'Qualification Pulse'!E4</c:f>
              <c:strCache>
                <c:ptCount val="1"/>
                <c:pt idx="0">
                  <c:v>Target rate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'Qualification Pulse'!$A$5:$A$9</c:f>
              <c:strCache>
                <c:ptCount val="5"/>
                <c:pt idx="0">
                  <c:v>AI-enabled engineering tools</c:v>
                </c:pt>
                <c:pt idx="1">
                  <c:v>Digital manufacturing and quality</c:v>
                </c:pt>
                <c:pt idx="2">
                  <c:v>Software-defined vehicle fundamentals</c:v>
                </c:pt>
                <c:pt idx="3">
                  <c:v>Battery and eDrive systems</c:v>
                </c:pt>
                <c:pt idx="4">
                  <c:v>Data literacy for HR and operations</c:v>
                </c:pt>
              </c:strCache>
            </c:strRef>
          </c:cat>
          <c:val>
            <c:numRef>
              <c:f>'Qualification Pulse'!$E$5:$E$9</c:f>
              <c:numCache>
                <c:formatCode>0.0%</c:formatCode>
                <c:ptCount val="5"/>
                <c:pt idx="0">
                  <c:v>0.8</c:v>
                </c:pt>
                <c:pt idx="1">
                  <c:v>0.82</c:v>
                </c:pt>
                <c:pt idx="2">
                  <c:v>0.85</c:v>
                </c:pt>
                <c:pt idx="3">
                  <c:v>0.85</c:v>
                </c:pt>
                <c:pt idx="4">
                  <c:v>0.8</c:v>
                </c:pt>
              </c:numCache>
            </c:numRef>
          </c:val>
        </c:ser>
        <c:gapWidth val="150"/>
        <c:overlap val="0"/>
        <c:axId val="35155089"/>
        <c:axId val="98809570"/>
      </c:barChart>
      <c:catAx>
        <c:axId val="3515508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809570"/>
        <c:crosses val="autoZero"/>
        <c:auto val="1"/>
        <c:lblAlgn val="ctr"/>
        <c:lblOffset val="100"/>
        <c:noMultiLvlLbl val="0"/>
      </c:catAx>
      <c:valAx>
        <c:axId val="988095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Capability area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155089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3</xdr:col>
      <xdr:colOff>105840</xdr:colOff>
      <xdr:row>24</xdr:row>
      <xdr:rowOff>43200</xdr:rowOff>
    </xdr:to>
    <xdr:graphicFrame>
      <xdr:nvGraphicFramePr>
        <xdr:cNvPr id="1" name="Chart 1"/>
        <xdr:cNvGraphicFramePr/>
      </xdr:nvGraphicFramePr>
      <xdr:xfrm>
        <a:off x="0" y="24764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emoContacts" displayName="DemoContacts" ref="A4:E8" headerRowCount="1" totalsRowCount="0" totalsRowShown="0">
  <autoFilter ref="A4:E8"/>
  <tableColumns count="5">
    <tableColumn id="1" name="Persona"/>
    <tableColumn id="2" name="Demo role"/>
    <tableColumn id="3" name="UPN"/>
    <tableColumn id="4" name="Use in live demo"/>
    <tableColumn id="5" name="Communication 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ngagementPulse" displayName="EngagementPulse" ref="A4:G8" headerRowCount="1" totalsRowCount="0" totalsRowShown="0">
  <autoFilter ref="A4:G8"/>
  <tableColumns count="7">
    <tableColumn id="1" name="Population"/>
    <tableColumn id="2" name="Respondents"/>
    <tableColumn id="3" name="Change clarity favorable"/>
    <tableColumn id="4" name="Learning access favorable"/>
    <tableColumn id="5" name="Manager support favorable"/>
    <tableColumn id="6" name="Primary aggregate signal"/>
    <tableColumn id="7" name="Source 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ecutiveSummary" displayName="ExecutiveSummary" ref="A4:C11" headerRowCount="1" totalsRowCount="0" totalsRowShown="0">
  <autoFilter ref="A4:C11"/>
  <tableColumns count="3">
    <tableColumn id="1" name="Metric"/>
    <tableColumn id="2" name="Value"/>
    <tableColumn id="3" name="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arningTrend" displayName="LearningTrend" ref="A4:F9" headerRowCount="1" totalsRowCount="0" totalsRowShown="0">
  <autoFilter ref="A4:F9"/>
  <tableColumns count="6">
    <tableColumn id="1" name="Capability area"/>
    <tableColumn id="2" name="2025 Q4"/>
    <tableColumn id="3" name="2026 Q1"/>
    <tableColumn id="4" name="2026 Q2"/>
    <tableColumn id="5" name="2026 Q3"/>
    <tableColumn id="6" name="Trend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ualificationPulse" displayName="QualificationPulse" ref="A4:J9" headerRowCount="1" totalsRowCount="0" totalsRowShown="0">
  <autoFilter ref="A4:J9"/>
  <tableColumns count="10">
    <tableColumn id="1" name="Capability area"/>
    <tableColumn id="2" name="Eligible population"/>
    <tableColumn id="3" name="Completed learners"/>
    <tableColumn id="4" name="Completion rate"/>
    <tableColumn id="5" name="Target rate"/>
    <tableColumn id="6" name="Engagement favorable"/>
    <tableColumn id="7" name="Manager readiness"/>
    <tableColumn id="8" name="Priority"/>
    <tableColumn id="9" name="Gap to target"/>
    <tableColumn id="10" name="Source lab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QualificationSprint" displayName="QualificationSprint" ref="A4:J10" headerRowCount="1" totalsRowCount="0" totalsRowShown="0">
  <autoFilter ref="A4:J10"/>
  <tableColumns count="10">
    <tableColumn id="1" name="Workstream"/>
    <tableColumn id="2" name="Accountable role"/>
    <tableColumn id="3" name="Supporting role"/>
    <tableColumn id="4" name="Deliverable"/>
    <tableColumn id="5" name="Start date"/>
    <tableColumn id="6" name="Due date"/>
    <tableColumn id="7" name="Dependency"/>
    <tableColumn id="8" name="Evidence of completion"/>
    <tableColumn id="9" name="Status"/>
    <tableColumn id="10" name="Constra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3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7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5.3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 customFormat="false" ht="15" hidden="false" customHeight="false" outlineLevel="0" collapsed="false">
      <c r="A5" s="5" t="s">
        <v>13</v>
      </c>
      <c r="B5" s="5" t="n">
        <v>1200</v>
      </c>
      <c r="C5" s="5" t="n">
        <v>744</v>
      </c>
      <c r="D5" s="6" t="n">
        <f aca="false">IFERROR(C5/B5,0)</f>
        <v>0.62</v>
      </c>
      <c r="E5" s="6" t="n">
        <v>0.8</v>
      </c>
      <c r="F5" s="6" t="n">
        <v>0.71</v>
      </c>
      <c r="G5" s="6" t="n">
        <v>0.58</v>
      </c>
      <c r="H5" s="5" t="s">
        <v>14</v>
      </c>
      <c r="I5" s="6" t="n">
        <f aca="false">E5-D5</f>
        <v>0.18</v>
      </c>
      <c r="J5" s="5" t="s">
        <v>15</v>
      </c>
    </row>
    <row r="6" customFormat="false" ht="15" hidden="false" customHeight="false" outlineLevel="0" collapsed="false">
      <c r="A6" s="5" t="s">
        <v>16</v>
      </c>
      <c r="B6" s="5" t="n">
        <v>980</v>
      </c>
      <c r="C6" s="5" t="n">
        <v>686</v>
      </c>
      <c r="D6" s="6" t="n">
        <f aca="false">IFERROR(C6/B6,0)</f>
        <v>0.7</v>
      </c>
      <c r="E6" s="6" t="n">
        <v>0.82</v>
      </c>
      <c r="F6" s="6" t="n">
        <v>0.74</v>
      </c>
      <c r="G6" s="6" t="n">
        <v>0.66</v>
      </c>
      <c r="H6" s="5" t="s">
        <v>14</v>
      </c>
      <c r="I6" s="6" t="n">
        <f aca="false">E6-D6</f>
        <v>0.12</v>
      </c>
      <c r="J6" s="5" t="s">
        <v>17</v>
      </c>
    </row>
    <row r="7" customFormat="false" ht="15" hidden="false" customHeight="false" outlineLevel="0" collapsed="false">
      <c r="A7" s="5" t="s">
        <v>18</v>
      </c>
      <c r="B7" s="5" t="n">
        <v>760</v>
      </c>
      <c r="C7" s="5" t="n">
        <v>608</v>
      </c>
      <c r="D7" s="6" t="n">
        <f aca="false">IFERROR(C7/B7,0)</f>
        <v>0.8</v>
      </c>
      <c r="E7" s="6" t="n">
        <v>0.85</v>
      </c>
      <c r="F7" s="6" t="n">
        <v>0.78</v>
      </c>
      <c r="G7" s="6" t="n">
        <v>0.72</v>
      </c>
      <c r="H7" s="5" t="s">
        <v>19</v>
      </c>
      <c r="I7" s="6" t="n">
        <f aca="false">E7-D7</f>
        <v>0.0499999999999999</v>
      </c>
      <c r="J7" s="5" t="s">
        <v>20</v>
      </c>
    </row>
    <row r="8" customFormat="false" ht="15" hidden="false" customHeight="false" outlineLevel="0" collapsed="false">
      <c r="A8" s="5" t="s">
        <v>21</v>
      </c>
      <c r="B8" s="5" t="n">
        <v>640</v>
      </c>
      <c r="C8" s="5" t="n">
        <v>538</v>
      </c>
      <c r="D8" s="6" t="n">
        <f aca="false">IFERROR(C8/B8,0)</f>
        <v>0.840625</v>
      </c>
      <c r="E8" s="6" t="n">
        <v>0.85</v>
      </c>
      <c r="F8" s="6" t="n">
        <v>0.81</v>
      </c>
      <c r="G8" s="6" t="n">
        <v>0.76</v>
      </c>
      <c r="H8" s="5" t="s">
        <v>22</v>
      </c>
      <c r="I8" s="6" t="n">
        <f aca="false">E8-D8</f>
        <v>0.00937500000000002</v>
      </c>
      <c r="J8" s="5" t="s">
        <v>23</v>
      </c>
    </row>
    <row r="9" customFormat="false" ht="15" hidden="false" customHeight="false" outlineLevel="0" collapsed="false">
      <c r="A9" s="5" t="s">
        <v>24</v>
      </c>
      <c r="B9" s="5" t="n">
        <v>520</v>
      </c>
      <c r="C9" s="5" t="n">
        <v>406</v>
      </c>
      <c r="D9" s="6" t="n">
        <f aca="false">IFERROR(C9/B9,0)</f>
        <v>0.780769230769231</v>
      </c>
      <c r="E9" s="6" t="n">
        <v>0.8</v>
      </c>
      <c r="F9" s="6" t="n">
        <v>0.75</v>
      </c>
      <c r="G9" s="6" t="n">
        <v>0.63</v>
      </c>
      <c r="H9" s="5" t="s">
        <v>19</v>
      </c>
      <c r="I9" s="6" t="n">
        <f aca="false">E9-D9</f>
        <v>0.0192307692307693</v>
      </c>
      <c r="J9" s="5" t="s">
        <v>25</v>
      </c>
    </row>
  </sheetData>
  <autoFilter ref="A4:J9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7" hidden="false" customHeight="false" outlineLevel="0" collapsed="false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27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4" t="s">
        <v>28</v>
      </c>
      <c r="B4" s="4" t="s">
        <v>29</v>
      </c>
      <c r="C4" s="4" t="s">
        <v>30</v>
      </c>
    </row>
    <row r="5" customFormat="false" ht="15" hidden="false" customHeight="false" outlineLevel="0" collapsed="false">
      <c r="A5" s="5" t="s">
        <v>31</v>
      </c>
      <c r="B5" s="5" t="n">
        <f aca="false">SUM('Qualification Pulse'!B5:B9)</f>
        <v>4100</v>
      </c>
      <c r="C5" s="5" t="s">
        <v>32</v>
      </c>
    </row>
    <row r="6" customFormat="false" ht="15" hidden="false" customHeight="false" outlineLevel="0" collapsed="false">
      <c r="A6" s="5" t="s">
        <v>33</v>
      </c>
      <c r="B6" s="5" t="n">
        <f aca="false">SUM('Qualification Pulse'!C5:C9)</f>
        <v>2982</v>
      </c>
      <c r="C6" s="5" t="s">
        <v>32</v>
      </c>
    </row>
    <row r="7" customFormat="false" ht="15" hidden="false" customHeight="false" outlineLevel="0" collapsed="false">
      <c r="A7" s="5" t="s">
        <v>34</v>
      </c>
      <c r="B7" s="6" t="n">
        <f aca="false">IFERROR(B6/B5,0)</f>
        <v>0.727317073170732</v>
      </c>
      <c r="C7" s="5" t="s">
        <v>35</v>
      </c>
    </row>
    <row r="8" customFormat="false" ht="15" hidden="false" customHeight="false" outlineLevel="0" collapsed="false">
      <c r="A8" s="5" t="s">
        <v>36</v>
      </c>
      <c r="B8" s="6" t="n">
        <f aca="false">AVERAGE('Qualification Pulse'!E5:E9)</f>
        <v>0.824</v>
      </c>
      <c r="C8" s="5" t="s">
        <v>35</v>
      </c>
    </row>
    <row r="9" customFormat="false" ht="15" hidden="false" customHeight="false" outlineLevel="0" collapsed="false">
      <c r="A9" s="5" t="s">
        <v>37</v>
      </c>
      <c r="B9" s="6" t="n">
        <f aca="false">AVERAGE('Qualification Pulse'!F5:F9)</f>
        <v>0.758</v>
      </c>
      <c r="C9" s="5" t="s">
        <v>35</v>
      </c>
    </row>
    <row r="10" customFormat="false" ht="15" hidden="false" customHeight="false" outlineLevel="0" collapsed="false">
      <c r="A10" s="5" t="s">
        <v>38</v>
      </c>
      <c r="B10" s="6" t="n">
        <f aca="false">AVERAGE('Qualification Pulse'!G5:G9)</f>
        <v>0.67</v>
      </c>
      <c r="C10" s="5" t="s">
        <v>35</v>
      </c>
    </row>
    <row r="11" customFormat="false" ht="15" hidden="false" customHeight="false" outlineLevel="0" collapsed="false">
      <c r="A11" s="5" t="s">
        <v>39</v>
      </c>
      <c r="B11" s="5" t="n">
        <f aca="false">COUNTIF('Qualification Pulse'!H5:H9,"High")</f>
        <v>2</v>
      </c>
      <c r="C11" s="5" t="s">
        <v>40</v>
      </c>
    </row>
  </sheetData>
  <autoFilter ref="A4:C11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7" hidden="false" customHeight="false" outlineLevel="0" collapsed="false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42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4" t="s">
        <v>3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</row>
    <row r="5" customFormat="false" ht="15" hidden="false" customHeight="false" outlineLevel="0" collapsed="false">
      <c r="A5" s="5" t="s">
        <v>13</v>
      </c>
      <c r="B5" s="6" t="n">
        <v>0.48</v>
      </c>
      <c r="C5" s="6" t="n">
        <v>0.53</v>
      </c>
      <c r="D5" s="6" t="n">
        <v>0.58</v>
      </c>
      <c r="E5" s="6" t="n">
        <v>0.62</v>
      </c>
      <c r="F5" s="5" t="s">
        <v>48</v>
      </c>
    </row>
    <row r="6" customFormat="false" ht="15" hidden="false" customHeight="false" outlineLevel="0" collapsed="false">
      <c r="A6" s="5" t="s">
        <v>16</v>
      </c>
      <c r="B6" s="6" t="n">
        <v>0.56</v>
      </c>
      <c r="C6" s="6" t="n">
        <v>0.61</v>
      </c>
      <c r="D6" s="6" t="n">
        <v>0.66</v>
      </c>
      <c r="E6" s="6" t="n">
        <v>0.7</v>
      </c>
      <c r="F6" s="5" t="s">
        <v>49</v>
      </c>
    </row>
    <row r="7" customFormat="false" ht="15" hidden="false" customHeight="false" outlineLevel="0" collapsed="false">
      <c r="A7" s="5" t="s">
        <v>18</v>
      </c>
      <c r="B7" s="6" t="n">
        <v>0.68</v>
      </c>
      <c r="C7" s="6" t="n">
        <v>0.72</v>
      </c>
      <c r="D7" s="6" t="n">
        <v>0.76</v>
      </c>
      <c r="E7" s="6" t="n">
        <v>0.8</v>
      </c>
      <c r="F7" s="5" t="s">
        <v>50</v>
      </c>
    </row>
    <row r="8" customFormat="false" ht="15" hidden="false" customHeight="false" outlineLevel="0" collapsed="false">
      <c r="A8" s="5" t="s">
        <v>21</v>
      </c>
      <c r="B8" s="6" t="n">
        <v>0.77</v>
      </c>
      <c r="C8" s="6" t="n">
        <v>0.8</v>
      </c>
      <c r="D8" s="6" t="n">
        <v>0.82</v>
      </c>
      <c r="E8" s="6" t="n">
        <v>0.84</v>
      </c>
      <c r="F8" s="5" t="s">
        <v>51</v>
      </c>
    </row>
    <row r="9" customFormat="false" ht="15" hidden="false" customHeight="false" outlineLevel="0" collapsed="false">
      <c r="A9" s="5" t="s">
        <v>24</v>
      </c>
      <c r="B9" s="6" t="n">
        <v>0.6</v>
      </c>
      <c r="C9" s="6" t="n">
        <v>0.67</v>
      </c>
      <c r="D9" s="6" t="n">
        <v>0.73</v>
      </c>
      <c r="E9" s="6" t="n">
        <v>0.78</v>
      </c>
      <c r="F9" s="5" t="s">
        <v>52</v>
      </c>
    </row>
  </sheetData>
  <autoFilter ref="A4:F9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4" min="3" style="0" width="23"/>
    <col collapsed="false" customWidth="true" hidden="false" outlineLevel="0" max="5" min="5" style="0" width="24"/>
    <col collapsed="false" customWidth="true" hidden="false" outlineLevel="0" max="6" min="6" style="0" width="42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7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54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5.3" hidden="false" customHeight="false" outlineLevel="0" collapsed="false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60</v>
      </c>
      <c r="G4" s="4" t="s">
        <v>12</v>
      </c>
    </row>
    <row r="5" customFormat="false" ht="15" hidden="false" customHeight="false" outlineLevel="0" collapsed="false">
      <c r="A5" s="5" t="s">
        <v>61</v>
      </c>
      <c r="B5" s="5" t="n">
        <v>860</v>
      </c>
      <c r="C5" s="6" t="n">
        <v>0.69</v>
      </c>
      <c r="D5" s="6" t="n">
        <v>0.74</v>
      </c>
      <c r="E5" s="6" t="n">
        <v>0.62</v>
      </c>
      <c r="F5" s="5" t="s">
        <v>62</v>
      </c>
      <c r="G5" s="5" t="s">
        <v>63</v>
      </c>
    </row>
    <row r="6" customFormat="false" ht="15" hidden="false" customHeight="false" outlineLevel="0" collapsed="false">
      <c r="A6" s="5" t="s">
        <v>64</v>
      </c>
      <c r="B6" s="5" t="n">
        <v>720</v>
      </c>
      <c r="C6" s="6" t="n">
        <v>0.73</v>
      </c>
      <c r="D6" s="6" t="n">
        <v>0.7</v>
      </c>
      <c r="E6" s="6" t="n">
        <v>0.67</v>
      </c>
      <c r="F6" s="5" t="s">
        <v>65</v>
      </c>
      <c r="G6" s="5" t="s">
        <v>63</v>
      </c>
    </row>
    <row r="7" customFormat="false" ht="15" hidden="false" customHeight="false" outlineLevel="0" collapsed="false">
      <c r="A7" s="5" t="s">
        <v>66</v>
      </c>
      <c r="B7" s="5" t="n">
        <v>310</v>
      </c>
      <c r="C7" s="6" t="n">
        <v>0.76</v>
      </c>
      <c r="D7" s="6" t="n">
        <v>0.79</v>
      </c>
      <c r="E7" s="6" t="n">
        <v>0.65</v>
      </c>
      <c r="F7" s="5" t="s">
        <v>67</v>
      </c>
      <c r="G7" s="5" t="s">
        <v>63</v>
      </c>
    </row>
    <row r="8" customFormat="false" ht="15" hidden="false" customHeight="false" outlineLevel="0" collapsed="false">
      <c r="A8" s="5" t="s">
        <v>68</v>
      </c>
      <c r="B8" s="5" t="n">
        <v>280</v>
      </c>
      <c r="C8" s="6" t="n">
        <v>0.64</v>
      </c>
      <c r="D8" s="6" t="n">
        <v>0.72</v>
      </c>
      <c r="E8" s="6" t="n">
        <v>0.61</v>
      </c>
      <c r="F8" s="5" t="s">
        <v>69</v>
      </c>
      <c r="G8" s="5" t="s">
        <v>70</v>
      </c>
    </row>
  </sheetData>
  <autoFilter ref="A4:G8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5"/>
    <col collapsed="false" customWidth="true" hidden="false" outlineLevel="0" max="4" min="4" style="0" width="34"/>
    <col collapsed="false" customWidth="true" hidden="false" outlineLevel="0" max="6" min="5" style="0" width="14"/>
    <col collapsed="false" customWidth="true" hidden="false" outlineLevel="0" max="7" min="7" style="0" width="28"/>
    <col collapsed="false" customWidth="true" hidden="false" outlineLevel="0" max="8" min="8" style="0" width="32"/>
    <col collapsed="false" customWidth="true" hidden="false" outlineLevel="0" max="9" min="9" style="0" width="14"/>
    <col collapsed="false" customWidth="true" hidden="false" outlineLevel="0" max="10" min="10" style="0" width="3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7" hidden="false" customHeight="false" outlineLevel="0" collapsed="false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72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4" t="s">
        <v>73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  <c r="G4" s="4" t="s">
        <v>79</v>
      </c>
      <c r="H4" s="4" t="s">
        <v>80</v>
      </c>
      <c r="I4" s="4" t="s">
        <v>81</v>
      </c>
      <c r="J4" s="4" t="s">
        <v>82</v>
      </c>
    </row>
    <row r="5" customFormat="false" ht="15" hidden="false" customHeight="false" outlineLevel="0" collapsed="false">
      <c r="A5" s="5" t="s">
        <v>83</v>
      </c>
      <c r="B5" s="5" t="s">
        <v>84</v>
      </c>
      <c r="C5" s="5" t="s">
        <v>85</v>
      </c>
      <c r="D5" s="5" t="s">
        <v>86</v>
      </c>
      <c r="E5" s="7" t="n">
        <v>46279</v>
      </c>
      <c r="F5" s="7" t="n">
        <v>46282</v>
      </c>
      <c r="G5" s="5" t="s">
        <v>87</v>
      </c>
      <c r="H5" s="5" t="s">
        <v>88</v>
      </c>
      <c r="I5" s="5" t="s">
        <v>89</v>
      </c>
      <c r="J5" s="5" t="s">
        <v>90</v>
      </c>
    </row>
    <row r="6" customFormat="false" ht="15" hidden="false" customHeight="false" outlineLevel="0" collapsed="false">
      <c r="A6" s="5" t="s">
        <v>91</v>
      </c>
      <c r="B6" s="5" t="s">
        <v>92</v>
      </c>
      <c r="C6" s="5" t="s">
        <v>93</v>
      </c>
      <c r="D6" s="5" t="s">
        <v>94</v>
      </c>
      <c r="E6" s="7" t="n">
        <v>46279</v>
      </c>
      <c r="F6" s="7" t="n">
        <v>46286</v>
      </c>
      <c r="G6" s="5" t="s">
        <v>95</v>
      </c>
      <c r="H6" s="5" t="s">
        <v>96</v>
      </c>
      <c r="I6" s="5" t="s">
        <v>89</v>
      </c>
      <c r="J6" s="5" t="s">
        <v>97</v>
      </c>
    </row>
    <row r="7" customFormat="false" ht="24.05" hidden="false" customHeight="false" outlineLevel="0" collapsed="false">
      <c r="A7" s="5" t="s">
        <v>98</v>
      </c>
      <c r="B7" s="5" t="s">
        <v>85</v>
      </c>
      <c r="C7" s="5" t="s">
        <v>99</v>
      </c>
      <c r="D7" s="5" t="s">
        <v>100</v>
      </c>
      <c r="E7" s="7" t="n">
        <v>46282</v>
      </c>
      <c r="F7" s="7" t="n">
        <v>46289</v>
      </c>
      <c r="G7" s="5" t="s">
        <v>101</v>
      </c>
      <c r="H7" s="5" t="s">
        <v>102</v>
      </c>
      <c r="I7" s="5" t="s">
        <v>89</v>
      </c>
      <c r="J7" s="5" t="s">
        <v>103</v>
      </c>
    </row>
    <row r="8" customFormat="false" ht="24.05" hidden="false" customHeight="false" outlineLevel="0" collapsed="false">
      <c r="A8" s="5" t="s">
        <v>104</v>
      </c>
      <c r="B8" s="5" t="s">
        <v>84</v>
      </c>
      <c r="C8" s="5" t="s">
        <v>99</v>
      </c>
      <c r="D8" s="5" t="s">
        <v>105</v>
      </c>
      <c r="E8" s="7" t="n">
        <v>46287</v>
      </c>
      <c r="F8" s="7" t="n">
        <v>46293</v>
      </c>
      <c r="G8" s="5" t="s">
        <v>106</v>
      </c>
      <c r="H8" s="5" t="s">
        <v>107</v>
      </c>
      <c r="I8" s="5" t="s">
        <v>89</v>
      </c>
      <c r="J8" s="5" t="s">
        <v>108</v>
      </c>
    </row>
    <row r="9" customFormat="false" ht="15" hidden="false" customHeight="false" outlineLevel="0" collapsed="false">
      <c r="A9" s="5" t="s">
        <v>109</v>
      </c>
      <c r="B9" s="5" t="s">
        <v>110</v>
      </c>
      <c r="C9" s="5" t="s">
        <v>84</v>
      </c>
      <c r="D9" s="5" t="s">
        <v>111</v>
      </c>
      <c r="E9" s="7" t="n">
        <v>46293</v>
      </c>
      <c r="F9" s="7" t="n">
        <v>46314</v>
      </c>
      <c r="G9" s="5" t="s">
        <v>112</v>
      </c>
      <c r="H9" s="5" t="s">
        <v>113</v>
      </c>
      <c r="I9" s="5" t="s">
        <v>89</v>
      </c>
      <c r="J9" s="5" t="s">
        <v>114</v>
      </c>
    </row>
    <row r="10" customFormat="false" ht="24.05" hidden="false" customHeight="false" outlineLevel="0" collapsed="false">
      <c r="A10" s="5" t="s">
        <v>115</v>
      </c>
      <c r="B10" s="5" t="s">
        <v>92</v>
      </c>
      <c r="C10" s="5" t="s">
        <v>110</v>
      </c>
      <c r="D10" s="5" t="s">
        <v>116</v>
      </c>
      <c r="E10" s="7" t="n">
        <v>46314</v>
      </c>
      <c r="F10" s="7" t="n">
        <v>46321</v>
      </c>
      <c r="G10" s="5" t="s">
        <v>117</v>
      </c>
      <c r="H10" s="5" t="s">
        <v>118</v>
      </c>
      <c r="I10" s="5" t="s">
        <v>89</v>
      </c>
      <c r="J10" s="5" t="s">
        <v>119</v>
      </c>
    </row>
  </sheetData>
  <autoFilter ref="A4:J10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38"/>
    <col collapsed="false" customWidth="true" hidden="false" outlineLevel="0" max="5" min="5" style="0" width="3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7" hidden="false" customHeight="false" outlineLevel="0" collapsed="false">
      <c r="A2" s="2" t="s">
        <v>120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121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4" t="s">
        <v>122</v>
      </c>
      <c r="B4" s="4" t="s">
        <v>123</v>
      </c>
      <c r="C4" s="4" t="s">
        <v>124</v>
      </c>
      <c r="D4" s="4" t="s">
        <v>125</v>
      </c>
      <c r="E4" s="4" t="s">
        <v>126</v>
      </c>
    </row>
    <row r="5" customFormat="false" ht="15" hidden="false" customHeight="false" outlineLevel="0" collapsed="false">
      <c r="A5" s="5" t="s">
        <v>127</v>
      </c>
      <c r="B5" s="5" t="s">
        <v>84</v>
      </c>
      <c r="C5" s="5" t="s">
        <v>128</v>
      </c>
      <c r="D5" s="5" t="s">
        <v>129</v>
      </c>
      <c r="E5" s="5" t="s">
        <v>130</v>
      </c>
    </row>
    <row r="6" customFormat="false" ht="15" hidden="false" customHeight="false" outlineLevel="0" collapsed="false">
      <c r="A6" s="5" t="s">
        <v>131</v>
      </c>
      <c r="B6" s="5" t="s">
        <v>92</v>
      </c>
      <c r="C6" s="5" t="s">
        <v>132</v>
      </c>
      <c r="D6" s="5" t="s">
        <v>129</v>
      </c>
      <c r="E6" s="5" t="s">
        <v>130</v>
      </c>
    </row>
    <row r="7" customFormat="false" ht="15" hidden="false" customHeight="false" outlineLevel="0" collapsed="false">
      <c r="A7" s="5" t="s">
        <v>133</v>
      </c>
      <c r="B7" s="5" t="s">
        <v>85</v>
      </c>
      <c r="C7" s="5" t="s">
        <v>134</v>
      </c>
      <c r="D7" s="5" t="s">
        <v>129</v>
      </c>
      <c r="E7" s="5" t="s">
        <v>130</v>
      </c>
    </row>
    <row r="8" customFormat="false" ht="15" hidden="false" customHeight="false" outlineLevel="0" collapsed="false">
      <c r="A8" s="5" t="s">
        <v>135</v>
      </c>
      <c r="B8" s="5" t="s">
        <v>136</v>
      </c>
      <c r="C8" s="5" t="s">
        <v>137</v>
      </c>
      <c r="D8" s="5" t="s">
        <v>138</v>
      </c>
      <c r="E8" s="5" t="s">
        <v>139</v>
      </c>
    </row>
  </sheetData>
  <autoFilter ref="A4:E8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2026-09-08T10:09:49Z</dcterms:created>
  <dc:creator>openpyxl</dc:creator>
  <dc:description/>
  <dc:language>de-DE</dc:language>
  <cp:lastModifiedBy/>
  <dcterms:modified xsi:type="dcterms:W3CDTF">2026-09-08T10:09:49Z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