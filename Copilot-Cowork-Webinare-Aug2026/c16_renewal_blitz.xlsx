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 Renewal Tracker" sheetId="1" state="visible" r:id="rId1"/>
    <sheet xmlns:r="http://schemas.openxmlformats.org/officeDocument/2006/relationships" name="Open Support Tickets" sheetId="2" state="visible" r:id="rId2"/>
    <sheet xmlns:r="http://schemas.openxmlformats.org/officeDocument/2006/relationships" name="Outreach Context" sheetId="3" state="visible" r:id="rId3"/>
    <sheet xmlns:r="http://schemas.openxmlformats.org/officeDocument/2006/relationships" name="Actions &amp; Checkpoints" sheetId="4" state="visible" r:id="rId4"/>
    <sheet xmlns:r="http://schemas.openxmlformats.org/officeDocument/2006/relationships" name="Renewal Summary" sheetId="5" state="visible" r:id="rId5"/>
  </sheets>
  <definedNames>
    <definedName name="_xlnm._FilterDatabase" localSheetId="0" hidden="1">'Account Renewal Tracker'!$A$1:$W$11</definedName>
    <definedName name="_xlnm._FilterDatabase" localSheetId="1" hidden="1">'Open Support Tickets'!$A$1:$J$29</definedName>
    <definedName name="_xlnm._FilterDatabase" localSheetId="3" hidden="1">'Actions &amp; Checkpoints'!$A$1:$H$16</definedName>
  </definedNames>
  <calcPr calcId="124519" fullCalcOnLoad="1"/>
</workbook>
</file>

<file path=xl/styles.xml><?xml version="1.0" encoding="utf-8"?>
<styleSheet xmlns="http://schemas.openxmlformats.org/spreadsheetml/2006/main">
  <numFmts count="1">
    <numFmt numFmtId="164" formatCode="$#,##0"/>
  </numFmts>
  <fonts count="7">
    <font>
      <name val="Calibri"/>
      <family val="2"/>
      <color theme="1"/>
      <sz val="11"/>
      <scheme val="minor"/>
    </font>
    <font>
      <b val="1"/>
      <color rgb="00FFFFFF"/>
    </font>
    <font/>
    <font>
      <b val="1"/>
      <color rgb="001F3864"/>
      <sz val="16"/>
    </font>
    <font>
      <i val="1"/>
      <color rgb="00595959"/>
    </font>
    <font>
      <b val="1"/>
      <sz val="12"/>
    </font>
    <font>
      <b val="1"/>
      <color rgb="00C00000"/>
      <sz val="12"/>
    </font>
  </fonts>
  <fills count="7">
    <fill>
      <patternFill/>
    </fill>
    <fill>
      <patternFill patternType="gray125"/>
    </fill>
    <fill>
      <patternFill patternType="solid">
        <fgColor rgb="001F3864"/>
      </patternFill>
    </fill>
    <fill>
      <patternFill patternType="solid">
        <fgColor rgb="00FFCCCC"/>
      </patternFill>
    </fill>
    <fill>
      <patternFill patternType="solid">
        <fgColor rgb="00FFF2CC"/>
      </patternFill>
    </fill>
    <fill>
      <patternFill patternType="solid">
        <fgColor rgb="00E2EFDA"/>
      </patternFill>
    </fill>
    <fill>
      <patternFill patternType="solid">
        <fgColor rgb="00FF0000"/>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164" fontId="0" fillId="3" borderId="0" pivotButton="0" quotePrefix="0" xfId="0"/>
    <xf numFmtId="0" fontId="0" fillId="4" borderId="0" pivotButton="0" quotePrefix="0" xfId="0"/>
    <xf numFmtId="164" fontId="0" fillId="4" borderId="0" pivotButton="0" quotePrefix="0" xfId="0"/>
    <xf numFmtId="0" fontId="0" fillId="5" borderId="0" pivotButton="0" quotePrefix="0" xfId="0"/>
    <xf numFmtId="164" fontId="0" fillId="5" borderId="0" pivotButton="0" quotePrefix="0" xfId="0"/>
    <xf numFmtId="0" fontId="2" fillId="3" borderId="0" pivotButton="0" quotePrefix="0" xfId="0"/>
    <xf numFmtId="0" fontId="2" fillId="4" borderId="0" pivotButton="0" quotePrefix="0" xfId="0"/>
    <xf numFmtId="0" fontId="1" fillId="6" borderId="0" pivotButton="0" quotePrefix="0" xfId="0"/>
    <xf numFmtId="0" fontId="1" fillId="2" borderId="0" pivotButton="0" quotePrefix="0" xfId="0"/>
    <xf numFmtId="0" fontId="2" fillId="5"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4" customWidth="1" min="7" max="7"/>
    <col width="12" customWidth="1" min="8" max="8"/>
    <col width="10" customWidth="1" min="9" max="9"/>
    <col width="14" customWidth="1" min="10" max="10"/>
    <col width="12" customWidth="1" min="11" max="11"/>
    <col width="14" customWidth="1" min="12" max="12"/>
    <col width="18" customWidth="1" min="13" max="13"/>
    <col width="22" customWidth="1" min="14" max="14"/>
    <col width="28" customWidth="1" min="15" max="15"/>
    <col width="20" customWidth="1" min="16" max="16"/>
    <col width="25" customWidth="1" min="17" max="17"/>
    <col width="14" customWidth="1" min="18" max="18"/>
    <col width="12" customWidth="1" min="19" max="19"/>
    <col width="14" customWidth="1" min="20" max="20"/>
    <col width="16" customWidth="1" min="21" max="21"/>
    <col width="30" customWidth="1" min="22" max="22"/>
    <col width="50" customWidth="1" min="23" max="23"/>
  </cols>
  <sheetData>
    <row r="1">
      <c r="A1" s="1" t="inlineStr">
        <is>
          <t>Account</t>
        </is>
      </c>
      <c r="B1" s="1" t="inlineStr">
        <is>
          <t>CSM</t>
        </is>
      </c>
      <c r="C1" s="1" t="inlineStr">
        <is>
          <t>AE</t>
        </is>
      </c>
      <c r="D1" s="1" t="inlineStr">
        <is>
          <t>Tier</t>
        </is>
      </c>
      <c r="E1" s="1" t="inlineStr">
        <is>
          <t>ARR</t>
        </is>
      </c>
      <c r="F1" s="1" t="inlineStr">
        <is>
          <t>Renewal Date</t>
        </is>
      </c>
      <c r="G1" s="1" t="inlineStr">
        <is>
          <t>Days to Renewal</t>
        </is>
      </c>
      <c r="H1" s="1" t="inlineStr">
        <is>
          <t>Health Score</t>
        </is>
      </c>
      <c r="I1" s="1" t="inlineStr">
        <is>
          <t>NPS Score</t>
        </is>
      </c>
      <c r="J1" s="1" t="inlineStr">
        <is>
          <t>Last QBR Date</t>
        </is>
      </c>
      <c r="K1" s="1" t="inlineStr">
        <is>
          <t>Open Support Tickets</t>
        </is>
      </c>
      <c r="L1" s="1" t="inlineStr">
        <is>
          <t>Platform Usage %</t>
        </is>
      </c>
      <c r="M1" s="1" t="inlineStr">
        <is>
          <t>Key Champion</t>
        </is>
      </c>
      <c r="N1" s="1" t="inlineStr">
        <is>
          <t>Champion Title</t>
        </is>
      </c>
      <c r="O1" s="1" t="inlineStr">
        <is>
          <t>Champion Email</t>
        </is>
      </c>
      <c r="P1" s="1" t="inlineStr">
        <is>
          <t>Economic Buyer</t>
        </is>
      </c>
      <c r="Q1" s="1" t="inlineStr">
        <is>
          <t>Buyer Email</t>
        </is>
      </c>
      <c r="R1" s="1" t="inlineStr">
        <is>
          <t>Renewal Status</t>
        </is>
      </c>
      <c r="S1" s="1" t="inlineStr">
        <is>
          <t>Renewal Risk</t>
        </is>
      </c>
      <c r="T1" s="1" t="inlineStr">
        <is>
          <t>Last Contact Date</t>
        </is>
      </c>
      <c r="U1" s="1" t="inlineStr">
        <is>
          <t>Days Since Contact</t>
        </is>
      </c>
      <c r="V1" s="1" t="inlineStr">
        <is>
          <t>Next Action</t>
        </is>
      </c>
      <c r="W1" s="1" t="inlineStr">
        <is>
          <t>Notes</t>
        </is>
      </c>
    </row>
    <row r="2">
      <c r="A2" s="2" t="inlineStr">
        <is>
          <t>Nexis Corporation</t>
        </is>
      </c>
      <c r="B2" s="2" t="inlineStr">
        <is>
          <t>Sarah Chen</t>
        </is>
      </c>
      <c r="C2" s="2" t="inlineStr">
        <is>
          <t>Marcus Webb</t>
        </is>
      </c>
      <c r="D2" s="2" t="inlineStr">
        <is>
          <t>Enterprise</t>
        </is>
      </c>
      <c r="E2" s="3" t="n">
        <v>285000</v>
      </c>
      <c r="F2" s="2" t="inlineStr">
        <is>
          <t>2026-08-15</t>
        </is>
      </c>
      <c r="G2" s="2" t="n">
        <v>44</v>
      </c>
      <c r="H2" s="2" t="n">
        <v>52</v>
      </c>
      <c r="I2" s="2" t="n">
        <v>6</v>
      </c>
      <c r="J2" s="2" t="inlineStr">
        <is>
          <t>2026-04-10</t>
        </is>
      </c>
      <c r="K2" s="2" t="n">
        <v>7</v>
      </c>
      <c r="L2" s="2" t="n">
        <v>41</v>
      </c>
      <c r="M2" s="2" t="inlineStr">
        <is>
          <t>David Kim</t>
        </is>
      </c>
      <c r="N2" s="2" t="inlineStr">
        <is>
          <t>VP Engineering</t>
        </is>
      </c>
      <c r="O2" s="2" t="inlineStr">
        <is>
          <t>d.kim@nexis.com</t>
        </is>
      </c>
      <c r="P2" s="2" t="inlineStr">
        <is>
          <t>Rachel Torres</t>
        </is>
      </c>
      <c r="Q2" s="2" t="inlineStr">
        <is>
          <t>r.torres@nexis.com</t>
        </is>
      </c>
      <c r="R2" s="2" t="inlineStr">
        <is>
          <t>At Risk</t>
        </is>
      </c>
      <c r="S2" s="2" t="inlineStr">
        <is>
          <t>RED</t>
        </is>
      </c>
      <c r="T2" s="2" t="inlineStr">
        <is>
          <t>2026-06-12</t>
        </is>
      </c>
      <c r="U2" s="2" t="n">
        <v>20</v>
      </c>
      <c r="V2" s="2" t="inlineStr">
        <is>
          <t>Executive EBR + escalation call</t>
        </is>
      </c>
      <c r="W2" s="2" t="inlineStr">
        <is>
          <t>Platform usage collapsed after reorg; champion is now in a different role; 7 open P2 tickets unresolved since May</t>
        </is>
      </c>
    </row>
    <row r="3">
      <c r="A3" s="4" t="inlineStr">
        <is>
          <t>Hartwell Financial</t>
        </is>
      </c>
      <c r="B3" s="4" t="inlineStr">
        <is>
          <t>James Park</t>
        </is>
      </c>
      <c r="C3" s="4" t="inlineStr">
        <is>
          <t>Lisa Rodriguez</t>
        </is>
      </c>
      <c r="D3" s="4" t="inlineStr">
        <is>
          <t>Enterprise</t>
        </is>
      </c>
      <c r="E3" s="5" t="n">
        <v>198000</v>
      </c>
      <c r="F3" s="4" t="inlineStr">
        <is>
          <t>2026-08-01</t>
        </is>
      </c>
      <c r="G3" s="4" t="n">
        <v>30</v>
      </c>
      <c r="H3" s="4" t="n">
        <v>61</v>
      </c>
      <c r="I3" s="4" t="n">
        <v>7</v>
      </c>
      <c r="J3" s="4" t="inlineStr">
        <is>
          <t>2026-05-02</t>
        </is>
      </c>
      <c r="K3" s="4" t="n">
        <v>3</v>
      </c>
      <c r="L3" s="4" t="n">
        <v>67</v>
      </c>
      <c r="M3" s="4" t="inlineStr">
        <is>
          <t>Emma Walsh</t>
        </is>
      </c>
      <c r="N3" s="4" t="inlineStr">
        <is>
          <t>Director of Analytics</t>
        </is>
      </c>
      <c r="O3" s="4" t="inlineStr">
        <is>
          <t>e.walsh@hartwell.com</t>
        </is>
      </c>
      <c r="P3" s="4" t="inlineStr">
        <is>
          <t>CFO Brian Cox</t>
        </is>
      </c>
      <c r="Q3" s="4" t="inlineStr">
        <is>
          <t>b.cox@hartwell.com</t>
        </is>
      </c>
      <c r="R3" s="4" t="inlineStr">
        <is>
          <t>Negotiating</t>
        </is>
      </c>
      <c r="S3" s="4" t="inlineStr">
        <is>
          <t>AMBER</t>
        </is>
      </c>
      <c r="T3" s="4" t="inlineStr">
        <is>
          <t>2026-06-25</t>
        </is>
      </c>
      <c r="U3" s="4" t="n">
        <v>7</v>
      </c>
      <c r="V3" s="4" t="inlineStr">
        <is>
          <t>CFO pricing call + ROI deck</t>
        </is>
      </c>
      <c r="W3" s="4" t="inlineStr">
        <is>
          <t>Asking for 15% price reduction; Emma is champion but CFO controls budget; competing with Tableau renewal</t>
        </is>
      </c>
    </row>
    <row r="4">
      <c r="A4" s="6" t="inlineStr">
        <is>
          <t>Meridian Partners</t>
        </is>
      </c>
      <c r="B4" s="6" t="inlineStr">
        <is>
          <t>Sarah Chen</t>
        </is>
      </c>
      <c r="C4" s="6" t="inlineStr">
        <is>
          <t>Marcus Webb</t>
        </is>
      </c>
      <c r="D4" s="6" t="inlineStr">
        <is>
          <t>Enterprise</t>
        </is>
      </c>
      <c r="E4" s="7" t="n">
        <v>156000</v>
      </c>
      <c r="F4" s="6" t="inlineStr">
        <is>
          <t>2026-09-12</t>
        </is>
      </c>
      <c r="G4" s="6" t="n">
        <v>72</v>
      </c>
      <c r="H4" s="6" t="n">
        <v>78</v>
      </c>
      <c r="I4" s="6" t="n">
        <v>9</v>
      </c>
      <c r="J4" s="6" t="inlineStr">
        <is>
          <t>2026-06-15</t>
        </is>
      </c>
      <c r="K4" s="6" t="n">
        <v>1</v>
      </c>
      <c r="L4" s="6" t="n">
        <v>88</v>
      </c>
      <c r="M4" s="6" t="inlineStr">
        <is>
          <t>Priya Nair</t>
        </is>
      </c>
      <c r="N4" s="6" t="inlineStr">
        <is>
          <t>Head of Operations</t>
        </is>
      </c>
      <c r="O4" s="6" t="inlineStr">
        <is>
          <t>p.nair@meridian.com</t>
        </is>
      </c>
      <c r="P4" s="6" t="inlineStr">
        <is>
          <t>COO Steven Liu</t>
        </is>
      </c>
      <c r="Q4" s="6" t="inlineStr">
        <is>
          <t>s.liu@meridian.com</t>
        </is>
      </c>
      <c r="R4" s="6" t="inlineStr">
        <is>
          <t>Healthy</t>
        </is>
      </c>
      <c r="S4" s="6" t="inlineStr">
        <is>
          <t>GREEN</t>
        </is>
      </c>
      <c r="T4" s="6" t="inlineStr">
        <is>
          <t>2026-07-01</t>
        </is>
      </c>
      <c r="U4" s="6" t="n">
        <v>1</v>
      </c>
      <c r="V4" s="6" t="inlineStr">
        <is>
          <t>Send renewal paperwork</t>
        </is>
      </c>
      <c r="W4" s="6" t="inlineStr">
        <is>
          <t>Strong champion, NPS 9, usage up 22% QoQ; ready to expand to 2 new departments</t>
        </is>
      </c>
    </row>
    <row r="5">
      <c r="A5" s="2" t="inlineStr">
        <is>
          <t>TerraAxis Corp</t>
        </is>
      </c>
      <c r="B5" s="2" t="inlineStr">
        <is>
          <t>James Park</t>
        </is>
      </c>
      <c r="C5" s="2" t="inlineStr">
        <is>
          <t>Lisa Rodriguez</t>
        </is>
      </c>
      <c r="D5" s="2" t="inlineStr">
        <is>
          <t>Mid-Market</t>
        </is>
      </c>
      <c r="E5" s="3" t="n">
        <v>89000</v>
      </c>
      <c r="F5" s="2" t="inlineStr">
        <is>
          <t>2026-07-31</t>
        </is>
      </c>
      <c r="G5" s="2" t="n">
        <v>29</v>
      </c>
      <c r="H5" s="2" t="n">
        <v>44</v>
      </c>
      <c r="I5" s="2" t="n">
        <v>4</v>
      </c>
      <c r="J5" s="2" t="inlineStr">
        <is>
          <t>2026-03-20</t>
        </is>
      </c>
      <c r="K5" s="2" t="n">
        <v>5</v>
      </c>
      <c r="L5" s="2" t="n">
        <v>38</v>
      </c>
      <c r="M5" s="2" t="inlineStr">
        <is>
          <t>Alex Morgan</t>
        </is>
      </c>
      <c r="N5" s="2" t="inlineStr">
        <is>
          <t>IT Manager</t>
        </is>
      </c>
      <c r="O5" s="2" t="inlineStr">
        <is>
          <t>a.morgan@terraaxis.com</t>
        </is>
      </c>
      <c r="P5" s="2" t="inlineStr">
        <is>
          <t>CTO Dana Brooks</t>
        </is>
      </c>
      <c r="Q5" s="2" t="inlineStr">
        <is>
          <t>d.brooks@terraaxis.com</t>
        </is>
      </c>
      <c r="R5" s="2" t="inlineStr">
        <is>
          <t>At Risk</t>
        </is>
      </c>
      <c r="S5" s="2" t="inlineStr">
        <is>
          <t>RED</t>
        </is>
      </c>
      <c r="T5" s="2" t="inlineStr">
        <is>
          <t>2026-06-18</t>
        </is>
      </c>
      <c r="U5" s="2" t="n">
        <v>14</v>
      </c>
      <c r="V5" s="2" t="inlineStr">
        <is>
          <t>CTO outreach + QBR scheduling</t>
        </is>
      </c>
      <c r="W5" s="2" t="inlineStr">
        <is>
          <t>Champion (Alex) left company June 2nd. No internal advocate. CTO is skeptical. 5 open tickets. Usage 38% vs 65% target.</t>
        </is>
      </c>
    </row>
    <row r="6">
      <c r="A6" s="6" t="inlineStr">
        <is>
          <t>Vantara Solutions</t>
        </is>
      </c>
      <c r="B6" s="6" t="inlineStr">
        <is>
          <t>Sarah Chen</t>
        </is>
      </c>
      <c r="C6" s="6" t="inlineStr">
        <is>
          <t>Marcus Webb</t>
        </is>
      </c>
      <c r="D6" s="6" t="inlineStr">
        <is>
          <t>Mid-Market</t>
        </is>
      </c>
      <c r="E6" s="7" t="n">
        <v>74000</v>
      </c>
      <c r="F6" s="6" t="inlineStr">
        <is>
          <t>2026-08-20</t>
        </is>
      </c>
      <c r="G6" s="6" t="n">
        <v>49</v>
      </c>
      <c r="H6" s="6" t="n">
        <v>71</v>
      </c>
      <c r="I6" s="6" t="n">
        <v>8</v>
      </c>
      <c r="J6" s="6" t="inlineStr">
        <is>
          <t>2026-05-28</t>
        </is>
      </c>
      <c r="K6" s="6" t="n">
        <v>2</v>
      </c>
      <c r="L6" s="6" t="n">
        <v>79</v>
      </c>
      <c r="M6" s="6" t="inlineStr">
        <is>
          <t>Carlos Mendes</t>
        </is>
      </c>
      <c r="N6" s="6" t="inlineStr">
        <is>
          <t>VP Product</t>
        </is>
      </c>
      <c r="O6" s="6" t="inlineStr">
        <is>
          <t>c.mendes@vantara.com</t>
        </is>
      </c>
      <c r="P6" s="6" t="inlineStr">
        <is>
          <t>CEO Aisha Johnson</t>
        </is>
      </c>
      <c r="Q6" s="6" t="inlineStr">
        <is>
          <t>a.johnson@vantara.com</t>
        </is>
      </c>
      <c r="R6" s="6" t="inlineStr">
        <is>
          <t>Likely</t>
        </is>
      </c>
      <c r="S6" s="6" t="inlineStr">
        <is>
          <t>GREEN</t>
        </is>
      </c>
      <c r="T6" s="6" t="inlineStr">
        <is>
          <t>2026-06-28</t>
        </is>
      </c>
      <c r="U6" s="6" t="n">
        <v>4</v>
      </c>
      <c r="V6" s="6" t="inlineStr">
        <is>
          <t>Upsell proposal for new team</t>
        </is>
      </c>
      <c r="W6" s="6" t="inlineStr">
        <is>
          <t>Strong usage, positive sentiment. Ready to expand to Product Analytics module ($24k). CEO visible in Teams.</t>
        </is>
      </c>
    </row>
    <row r="7">
      <c r="A7" s="2" t="inlineStr">
        <is>
          <t>BlueSky Logistics</t>
        </is>
      </c>
      <c r="B7" s="2" t="inlineStr">
        <is>
          <t>James Park</t>
        </is>
      </c>
      <c r="C7" s="2" t="inlineStr">
        <is>
          <t>Tom Walsh</t>
        </is>
      </c>
      <c r="D7" s="2" t="inlineStr">
        <is>
          <t>Mid-Market</t>
        </is>
      </c>
      <c r="E7" s="3" t="n">
        <v>62000</v>
      </c>
      <c r="F7" s="2" t="inlineStr">
        <is>
          <t>2026-07-25</t>
        </is>
      </c>
      <c r="G7" s="2" t="n">
        <v>23</v>
      </c>
      <c r="H7" s="2" t="n">
        <v>38</v>
      </c>
      <c r="I7" s="2" t="n">
        <v>3</v>
      </c>
      <c r="J7" s="2" t="inlineStr">
        <is>
          <t>2026-02-14</t>
        </is>
      </c>
      <c r="K7" s="2" t="n">
        <v>9</v>
      </c>
      <c r="L7" s="2" t="n">
        <v>29</v>
      </c>
      <c r="M7" s="2" t="inlineStr">
        <is>
          <t>Mike Chen</t>
        </is>
      </c>
      <c r="N7" s="2" t="inlineStr">
        <is>
          <t>Operations Director</t>
        </is>
      </c>
      <c r="O7" s="2" t="inlineStr">
        <is>
          <t>m.chen@bluesky.com</t>
        </is>
      </c>
      <c r="P7" s="2" t="inlineStr">
        <is>
          <t>COO Janet Lee</t>
        </is>
      </c>
      <c r="Q7" s="2" t="inlineStr">
        <is>
          <t>j.lee@bluesky.com</t>
        </is>
      </c>
      <c r="R7" s="2" t="inlineStr">
        <is>
          <t>At Risk</t>
        </is>
      </c>
      <c r="S7" s="2" t="inlineStr">
        <is>
          <t>RED</t>
        </is>
      </c>
      <c r="T7" s="2" t="inlineStr">
        <is>
          <t>2026-05-30</t>
        </is>
      </c>
      <c r="U7" s="2" t="n">
        <v>33</v>
      </c>
      <c r="V7" s="2" t="inlineStr">
        <is>
          <t>URGENT: COO call + exec save playbook</t>
        </is>
      </c>
      <c r="W7" s="2" t="inlineStr">
        <is>
          <t>CRITICAL — 23 days to renewal, COO was never onboarded, 9 open tickets, 29% platform usage, no QBR since Q1, champion disengaged</t>
        </is>
      </c>
    </row>
    <row r="8">
      <c r="A8" s="4" t="inlineStr">
        <is>
          <t>Apex Manufacturing</t>
        </is>
      </c>
      <c r="B8" s="4" t="inlineStr">
        <is>
          <t>Sarah Chen</t>
        </is>
      </c>
      <c r="C8" s="4" t="inlineStr">
        <is>
          <t>Lisa Rodriguez</t>
        </is>
      </c>
      <c r="D8" s="4" t="inlineStr">
        <is>
          <t>Mid-Market</t>
        </is>
      </c>
      <c r="E8" s="5" t="n">
        <v>57000</v>
      </c>
      <c r="F8" s="4" t="inlineStr">
        <is>
          <t>2026-09-05</t>
        </is>
      </c>
      <c r="G8" s="4" t="n">
        <v>65</v>
      </c>
      <c r="H8" s="4" t="n">
        <v>66</v>
      </c>
      <c r="I8" s="4" t="n">
        <v>7</v>
      </c>
      <c r="J8" s="4" t="inlineStr">
        <is>
          <t>2026-06-10</t>
        </is>
      </c>
      <c r="K8" s="4" t="n">
        <v>2</v>
      </c>
      <c r="L8" s="4" t="n">
        <v>73</v>
      </c>
      <c r="M8" s="4" t="inlineStr">
        <is>
          <t>Sophia Reyes</t>
        </is>
      </c>
      <c r="N8" s="4" t="inlineStr">
        <is>
          <t>Digital Transformation Lead</t>
        </is>
      </c>
      <c r="O8" s="4" t="inlineStr">
        <is>
          <t>s.reyes@apex.com</t>
        </is>
      </c>
      <c r="P8" s="4" t="inlineStr">
        <is>
          <t>VP Ops Frank Miller</t>
        </is>
      </c>
      <c r="Q8" s="4" t="inlineStr">
        <is>
          <t>f.miller@apex.com</t>
        </is>
      </c>
      <c r="R8" s="4" t="inlineStr">
        <is>
          <t>Likely</t>
        </is>
      </c>
      <c r="S8" s="4" t="inlineStr">
        <is>
          <t>AMBER</t>
        </is>
      </c>
      <c r="T8" s="4" t="inlineStr">
        <is>
          <t>2026-06-29</t>
        </is>
      </c>
      <c r="U8" s="4" t="n">
        <v>3</v>
      </c>
      <c r="V8" s="4" t="inlineStr">
        <is>
          <t>Multi-year pricing conversation</t>
        </is>
      </c>
      <c r="W8" s="4" t="inlineStr">
        <is>
          <t>Sophia pushing for 2-yr deal with 8% discount. Frank approves &gt;$50k contracts. Good usage but manufacturing vertical is competitive.</t>
        </is>
      </c>
    </row>
    <row r="9">
      <c r="A9" s="6" t="inlineStr">
        <is>
          <t>CoreLogic Inc</t>
        </is>
      </c>
      <c r="B9" s="6" t="inlineStr">
        <is>
          <t>Tom Walsh</t>
        </is>
      </c>
      <c r="C9" s="6" t="inlineStr">
        <is>
          <t>Marcus Webb</t>
        </is>
      </c>
      <c r="D9" s="6" t="inlineStr">
        <is>
          <t>SMB</t>
        </is>
      </c>
      <c r="E9" s="7" t="n">
        <v>34000</v>
      </c>
      <c r="F9" s="6" t="inlineStr">
        <is>
          <t>2026-08-10</t>
        </is>
      </c>
      <c r="G9" s="6" t="n">
        <v>39</v>
      </c>
      <c r="H9" s="6" t="n">
        <v>81</v>
      </c>
      <c r="I9" s="6" t="n">
        <v>9</v>
      </c>
      <c r="J9" s="6" t="inlineStr">
        <is>
          <t>2026-06-20</t>
        </is>
      </c>
      <c r="K9" s="6" t="n">
        <v>0</v>
      </c>
      <c r="L9" s="6" t="n">
        <v>91</v>
      </c>
      <c r="M9" s="6" t="inlineStr">
        <is>
          <t>Rachel Green</t>
        </is>
      </c>
      <c r="N9" s="6" t="inlineStr">
        <is>
          <t>Marketing Manager</t>
        </is>
      </c>
      <c r="O9" s="6" t="inlineStr">
        <is>
          <t>r.green@corelogic.com</t>
        </is>
      </c>
      <c r="P9" s="6" t="inlineStr">
        <is>
          <t>CMO Paul Reed</t>
        </is>
      </c>
      <c r="Q9" s="6" t="inlineStr">
        <is>
          <t>p.reed@corelogic.com</t>
        </is>
      </c>
      <c r="R9" s="6" t="inlineStr">
        <is>
          <t>Healthy</t>
        </is>
      </c>
      <c r="S9" s="6" t="inlineStr">
        <is>
          <t>GREEN</t>
        </is>
      </c>
      <c r="T9" s="6" t="inlineStr">
        <is>
          <t>2026-07-01</t>
        </is>
      </c>
      <c r="U9" s="6" t="n">
        <v>1</v>
      </c>
      <c r="V9" s="6" t="inlineStr">
        <is>
          <t>Renewal + referral request</t>
        </is>
      </c>
      <c r="W9" s="6" t="inlineStr">
        <is>
          <t>Highest usage rate in SMB portfolio. NPS 9 — ask for a case study and referral at renewal.</t>
        </is>
      </c>
    </row>
    <row r="10">
      <c r="A10" s="4" t="inlineStr">
        <is>
          <t>Frontier Analytics</t>
        </is>
      </c>
      <c r="B10" s="4" t="inlineStr">
        <is>
          <t>Tom Walsh</t>
        </is>
      </c>
      <c r="C10" s="4" t="inlineStr">
        <is>
          <t>Tom Walsh</t>
        </is>
      </c>
      <c r="D10" s="4" t="inlineStr">
        <is>
          <t>SMB</t>
        </is>
      </c>
      <c r="E10" s="5" t="n">
        <v>28000</v>
      </c>
      <c r="F10" s="4" t="inlineStr">
        <is>
          <t>2026-07-18</t>
        </is>
      </c>
      <c r="G10" s="4" t="n">
        <v>16</v>
      </c>
      <c r="H10" s="4" t="n">
        <v>55</v>
      </c>
      <c r="I10" s="4" t="n">
        <v>6</v>
      </c>
      <c r="J10" s="4" t="inlineStr">
        <is>
          <t>2026-04-05</t>
        </is>
      </c>
      <c r="K10" s="4" t="n">
        <v>4</v>
      </c>
      <c r="L10" s="4" t="n">
        <v>52</v>
      </c>
      <c r="M10" s="4" t="inlineStr">
        <is>
          <t>David Park</t>
        </is>
      </c>
      <c r="N10" s="4" t="inlineStr">
        <is>
          <t>Data Lead</t>
        </is>
      </c>
      <c r="O10" s="4" t="inlineStr">
        <is>
          <t>d.park@frontier.com</t>
        </is>
      </c>
      <c r="P10" s="4" t="inlineStr">
        <is>
          <t>CEO Kyle Marsh</t>
        </is>
      </c>
      <c r="Q10" s="4" t="inlineStr">
        <is>
          <t>k.marsh@frontier.com</t>
        </is>
      </c>
      <c r="R10" s="4" t="inlineStr">
        <is>
          <t>Uncertain</t>
        </is>
      </c>
      <c r="S10" s="4" t="inlineStr">
        <is>
          <t>AMBER</t>
        </is>
      </c>
      <c r="T10" s="4" t="inlineStr">
        <is>
          <t>2026-06-15</t>
        </is>
      </c>
      <c r="U10" s="4" t="n">
        <v>17</v>
      </c>
      <c r="V10" s="4" t="inlineStr">
        <is>
          <t>CEO reachout + outcome review</t>
        </is>
      </c>
      <c r="W10" s="4" t="inlineStr">
        <is>
          <t>CEO has been asking finance to review all software costs. Competitive pressure from Power BI internally. Need to show ROI before Jul 18.</t>
        </is>
      </c>
    </row>
    <row r="11">
      <c r="A11" s="6" t="inlineStr">
        <is>
          <t>Solaris Health</t>
        </is>
      </c>
      <c r="B11" s="6" t="inlineStr">
        <is>
          <t>Sarah Chen</t>
        </is>
      </c>
      <c r="C11" s="6" t="inlineStr">
        <is>
          <t>Lisa Rodriguez</t>
        </is>
      </c>
      <c r="D11" s="6" t="inlineStr">
        <is>
          <t>SMB</t>
        </is>
      </c>
      <c r="E11" s="7" t="n">
        <v>21000</v>
      </c>
      <c r="F11" s="6" t="inlineStr">
        <is>
          <t>2026-09-22</t>
        </is>
      </c>
      <c r="G11" s="6" t="n">
        <v>82</v>
      </c>
      <c r="H11" s="6" t="n">
        <v>73</v>
      </c>
      <c r="I11" s="6" t="n">
        <v>8</v>
      </c>
      <c r="J11" s="6" t="inlineStr">
        <is>
          <t>2026-06-25</t>
        </is>
      </c>
      <c r="K11" s="6" t="n">
        <v>1</v>
      </c>
      <c r="L11" s="6" t="n">
        <v>76</v>
      </c>
      <c r="M11" s="6" t="inlineStr">
        <is>
          <t>Nina Brooks</t>
        </is>
      </c>
      <c r="N11" s="6" t="inlineStr">
        <is>
          <t>Operations Manager</t>
        </is>
      </c>
      <c r="O11" s="6" t="inlineStr">
        <is>
          <t>n.brooks@solarishealth.com</t>
        </is>
      </c>
      <c r="P11" s="6" t="inlineStr">
        <is>
          <t>Director Tom Hall</t>
        </is>
      </c>
      <c r="Q11" s="6" t="inlineStr">
        <is>
          <t>t.hall@solarishealth.com</t>
        </is>
      </c>
      <c r="R11" s="6" t="inlineStr">
        <is>
          <t>Likely</t>
        </is>
      </c>
      <c r="S11" s="6" t="inlineStr">
        <is>
          <t>GREEN</t>
        </is>
      </c>
      <c r="T11" s="6" t="inlineStr">
        <is>
          <t>2026-06-30</t>
        </is>
      </c>
      <c r="U11" s="6" t="n">
        <v>2</v>
      </c>
      <c r="V11" s="6" t="inlineStr">
        <is>
          <t>Standard renewal + check interest in add-on</t>
        </is>
      </c>
      <c r="W11" s="6" t="inlineStr">
        <is>
          <t>Solid account, no risk flags. Ask about Compliance module interest during renewal call.</t>
        </is>
      </c>
    </row>
  </sheetData>
  <autoFilter ref="A1:W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8" customWidth="1" min="3" max="3"/>
    <col width="8" customWidth="1" min="4" max="4"/>
    <col width="8" customWidth="1" min="5" max="5"/>
    <col width="14" customWidth="1" min="6" max="6"/>
    <col width="10" customWidth="1" min="7" max="7"/>
    <col width="16" customWidth="1" min="8" max="8"/>
    <col width="35" customWidth="1" min="9" max="9"/>
    <col width="50" customWidth="1" min="10" max="10"/>
  </cols>
  <sheetData>
    <row r="1">
      <c r="A1" s="1" t="inlineStr">
        <is>
          <t>Ticket ID</t>
        </is>
      </c>
      <c r="B1" s="1" t="inlineStr">
        <is>
          <t>Account</t>
        </is>
      </c>
      <c r="C1" s="1" t="inlineStr">
        <is>
          <t>Title</t>
        </is>
      </c>
      <c r="D1" s="1" t="inlineStr">
        <is>
          <t>Priority</t>
        </is>
      </c>
      <c r="E1" s="1" t="inlineStr">
        <is>
          <t>Status</t>
        </is>
      </c>
      <c r="F1" s="1" t="inlineStr">
        <is>
          <t>Opened Date</t>
        </is>
      </c>
      <c r="G1" s="1" t="inlineStr">
        <is>
          <t>Days Open</t>
        </is>
      </c>
      <c r="H1" s="1" t="inlineStr">
        <is>
          <t>Assigned To</t>
        </is>
      </c>
      <c r="I1" s="1" t="inlineStr">
        <is>
          <t>Impact</t>
        </is>
      </c>
      <c r="J1" s="1" t="inlineStr">
        <is>
          <t>Customer Note</t>
        </is>
      </c>
    </row>
    <row r="2">
      <c r="A2" s="8" t="inlineStr">
        <is>
          <t>T-4821</t>
        </is>
      </c>
      <c r="B2" s="8" t="inlineStr">
        <is>
          <t>Nexis Corporation</t>
        </is>
      </c>
      <c r="C2" s="8" t="inlineStr">
        <is>
          <t>SSO integration broken after Azure AD migration</t>
        </is>
      </c>
      <c r="D2" s="8" t="inlineStr">
        <is>
          <t>P2</t>
        </is>
      </c>
      <c r="E2" s="8" t="inlineStr">
        <is>
          <t>Open</t>
        </is>
      </c>
      <c r="F2" s="8" t="inlineStr">
        <is>
          <t>2026-05-14</t>
        </is>
      </c>
      <c r="G2" s="8" t="n">
        <v>49</v>
      </c>
      <c r="H2" s="8" t="inlineStr">
        <is>
          <t>Eng Support</t>
        </is>
      </c>
      <c r="I2" s="8" t="inlineStr">
        <is>
          <t>Login broken for 23% of users</t>
        </is>
      </c>
      <c r="J2" s="8" t="inlineStr">
        <is>
          <t>This is blocking our new hire cohort from getting started</t>
        </is>
      </c>
    </row>
    <row r="3">
      <c r="A3" s="8" t="inlineStr">
        <is>
          <t>T-4822</t>
        </is>
      </c>
      <c r="B3" s="8" t="inlineStr">
        <is>
          <t>Nexis Corporation</t>
        </is>
      </c>
      <c r="C3" s="8" t="inlineStr">
        <is>
          <t>API rate limits causing export failures</t>
        </is>
      </c>
      <c r="D3" s="8" t="inlineStr">
        <is>
          <t>P2</t>
        </is>
      </c>
      <c r="E3" s="8" t="inlineStr">
        <is>
          <t>Open</t>
        </is>
      </c>
      <c r="F3" s="8" t="inlineStr">
        <is>
          <t>2026-05-21</t>
        </is>
      </c>
      <c r="G3" s="8" t="n">
        <v>42</v>
      </c>
      <c r="H3" s="8" t="inlineStr">
        <is>
          <t>API Team</t>
        </is>
      </c>
      <c r="I3" s="8" t="inlineStr">
        <is>
          <t>Nightly data exports failing</t>
        </is>
      </c>
      <c r="J3" s="8" t="inlineStr">
        <is>
          <t>Finance team can't pull their reports</t>
        </is>
      </c>
    </row>
    <row r="4">
      <c r="A4" s="8" t="inlineStr">
        <is>
          <t>T-4823</t>
        </is>
      </c>
      <c r="B4" s="8" t="inlineStr">
        <is>
          <t>Nexis Corporation</t>
        </is>
      </c>
      <c r="C4" s="8" t="inlineStr">
        <is>
          <t>Dashboard loading &gt;45 seconds for large datasets</t>
        </is>
      </c>
      <c r="D4" s="8" t="inlineStr">
        <is>
          <t>P2</t>
        </is>
      </c>
      <c r="E4" s="8" t="inlineStr">
        <is>
          <t>Open</t>
        </is>
      </c>
      <c r="F4" s="8" t="inlineStr">
        <is>
          <t>2026-05-28</t>
        </is>
      </c>
      <c r="G4" s="8" t="n">
        <v>35</v>
      </c>
      <c r="H4" s="8" t="inlineStr">
        <is>
          <t>Platform</t>
        </is>
      </c>
      <c r="I4" s="8" t="inlineStr">
        <is>
          <t>Analytics unusable for power users</t>
        </is>
      </c>
      <c r="J4" s="8" t="inlineStr">
        <is>
          <t>Our analysts have stopped using the platform</t>
        </is>
      </c>
    </row>
    <row r="5">
      <c r="A5" s="9" t="inlineStr">
        <is>
          <t>T-4824</t>
        </is>
      </c>
      <c r="B5" s="9" t="inlineStr">
        <is>
          <t>Nexis Corporation</t>
        </is>
      </c>
      <c r="C5" s="9" t="inlineStr">
        <is>
          <t>Bulk user import failing silently</t>
        </is>
      </c>
      <c r="D5" s="9" t="inlineStr">
        <is>
          <t>P3</t>
        </is>
      </c>
      <c r="E5" s="9" t="inlineStr">
        <is>
          <t>Open</t>
        </is>
      </c>
      <c r="F5" s="9" t="inlineStr">
        <is>
          <t>2026-06-02</t>
        </is>
      </c>
      <c r="G5" s="9" t="n">
        <v>30</v>
      </c>
      <c r="H5" s="9" t="inlineStr">
        <is>
          <t>Eng Support</t>
        </is>
      </c>
      <c r="I5" s="9" t="inlineStr">
        <is>
          <t>Onboarding blocked</t>
        </is>
      </c>
      <c r="J5" s="9" t="inlineStr">
        <is>
          <t>Can't add new team members</t>
        </is>
      </c>
    </row>
    <row r="6">
      <c r="A6" s="9" t="inlineStr">
        <is>
          <t>T-4825</t>
        </is>
      </c>
      <c r="B6" s="9" t="inlineStr">
        <is>
          <t>Nexis Corporation</t>
        </is>
      </c>
      <c r="C6" s="9" t="inlineStr">
        <is>
          <t>Notification digest emails not sending</t>
        </is>
      </c>
      <c r="D6" s="9" t="inlineStr">
        <is>
          <t>P3</t>
        </is>
      </c>
      <c r="E6" s="9" t="inlineStr">
        <is>
          <t>Open</t>
        </is>
      </c>
      <c r="F6" s="9" t="inlineStr">
        <is>
          <t>2026-06-10</t>
        </is>
      </c>
      <c r="G6" s="9" t="n">
        <v>22</v>
      </c>
      <c r="H6" s="9" t="inlineStr">
        <is>
          <t>Infra</t>
        </is>
      </c>
      <c r="I6" s="9" t="inlineStr">
        <is>
          <t>Users missing key updates</t>
        </is>
      </c>
      <c r="J6" s="9" t="inlineStr">
        <is>
          <t>My team has completely stopped engaging</t>
        </is>
      </c>
    </row>
    <row r="7">
      <c r="A7" s="8" t="inlineStr">
        <is>
          <t>T-4826</t>
        </is>
      </c>
      <c r="B7" s="8" t="inlineStr">
        <is>
          <t>Nexis Corporation</t>
        </is>
      </c>
      <c r="C7" s="8" t="inlineStr">
        <is>
          <t>Custom field mapping broken in v2.4.1</t>
        </is>
      </c>
      <c r="D7" s="8" t="inlineStr">
        <is>
          <t>P2</t>
        </is>
      </c>
      <c r="E7" s="8" t="inlineStr">
        <is>
          <t>Open</t>
        </is>
      </c>
      <c r="F7" s="8" t="inlineStr">
        <is>
          <t>2026-06-18</t>
        </is>
      </c>
      <c r="G7" s="8" t="n">
        <v>14</v>
      </c>
      <c r="H7" s="8" t="inlineStr">
        <is>
          <t>Platform</t>
        </is>
      </c>
      <c r="I7" s="8" t="inlineStr">
        <is>
          <t>Reporting workflows blocked</t>
        </is>
      </c>
      <c r="J7" s="8" t="inlineStr">
        <is>
          <t>This was working fine before the June release</t>
        </is>
      </c>
    </row>
    <row r="8">
      <c r="A8" s="9" t="inlineStr">
        <is>
          <t>T-4827</t>
        </is>
      </c>
      <c r="B8" s="9" t="inlineStr">
        <is>
          <t>Nexis Corporation</t>
        </is>
      </c>
      <c r="C8" s="9" t="inlineStr">
        <is>
          <t>Audit log export missing July entries</t>
        </is>
      </c>
      <c r="D8" s="9" t="inlineStr">
        <is>
          <t>P3</t>
        </is>
      </c>
      <c r="E8" s="9" t="inlineStr">
        <is>
          <t>Open</t>
        </is>
      </c>
      <c r="F8" s="9" t="inlineStr">
        <is>
          <t>2026-06-25</t>
        </is>
      </c>
      <c r="G8" s="9" t="n">
        <v>7</v>
      </c>
      <c r="H8" s="9" t="inlineStr">
        <is>
          <t>Eng Support</t>
        </is>
      </c>
      <c r="I8" s="9" t="inlineStr">
        <is>
          <t>Compliance audit at risk</t>
        </is>
      </c>
      <c r="J8" s="9" t="inlineStr">
        <is>
          <t>We need this for our Q2 compliance report</t>
        </is>
      </c>
    </row>
    <row r="9">
      <c r="A9" s="8" t="inlineStr">
        <is>
          <t>T-4828</t>
        </is>
      </c>
      <c r="B9" s="8" t="inlineStr">
        <is>
          <t>TerraAxis Corp</t>
        </is>
      </c>
      <c r="C9" s="8" t="inlineStr">
        <is>
          <t>Webhook payloads truncated above 10KB</t>
        </is>
      </c>
      <c r="D9" s="8" t="inlineStr">
        <is>
          <t>P2</t>
        </is>
      </c>
      <c r="E9" s="8" t="inlineStr">
        <is>
          <t>Open</t>
        </is>
      </c>
      <c r="F9" s="8" t="inlineStr">
        <is>
          <t>2026-05-20</t>
        </is>
      </c>
      <c r="G9" s="8" t="n">
        <v>43</v>
      </c>
      <c r="H9" s="8" t="inlineStr">
        <is>
          <t>API Team</t>
        </is>
      </c>
      <c r="I9" s="8" t="inlineStr">
        <is>
          <t>Integration pipeline broken</t>
        </is>
      </c>
      <c r="J9" s="8" t="inlineStr">
        <is>
          <t>Our entire data pipeline is down</t>
        </is>
      </c>
    </row>
    <row r="10">
      <c r="A10" s="8" t="inlineStr">
        <is>
          <t>T-4829</t>
        </is>
      </c>
      <c r="B10" s="8" t="inlineStr">
        <is>
          <t>TerraAxis Corp</t>
        </is>
      </c>
      <c r="C10" s="8" t="inlineStr">
        <is>
          <t>MFA enrollment flow not working on mobile</t>
        </is>
      </c>
      <c r="D10" s="8" t="inlineStr">
        <is>
          <t>P2</t>
        </is>
      </c>
      <c r="E10" s="8" t="inlineStr">
        <is>
          <t>Open</t>
        </is>
      </c>
      <c r="F10" s="8" t="inlineStr">
        <is>
          <t>2026-06-01</t>
        </is>
      </c>
      <c r="G10" s="8" t="n">
        <v>31</v>
      </c>
      <c r="H10" s="8" t="inlineStr">
        <is>
          <t>Auth Team</t>
        </is>
      </c>
      <c r="I10" s="8" t="inlineStr">
        <is>
          <t>New users can't enroll</t>
        </is>
      </c>
      <c r="J10" s="8" t="inlineStr">
        <is>
          <t>50% of new users can't get in</t>
        </is>
      </c>
    </row>
    <row r="11">
      <c r="A11" s="8" t="inlineStr">
        <is>
          <t>T-4830</t>
        </is>
      </c>
      <c r="B11" s="8" t="inlineStr">
        <is>
          <t>TerraAxis Corp</t>
        </is>
      </c>
      <c r="C11" s="8" t="inlineStr">
        <is>
          <t>Report templates disappeared after org migration</t>
        </is>
      </c>
      <c r="D11" s="8" t="inlineStr">
        <is>
          <t>P2</t>
        </is>
      </c>
      <c r="E11" s="8" t="inlineStr">
        <is>
          <t>Open</t>
        </is>
      </c>
      <c r="F11" s="8" t="inlineStr">
        <is>
          <t>2026-06-10</t>
        </is>
      </c>
      <c r="G11" s="8" t="n">
        <v>22</v>
      </c>
      <c r="H11" s="8" t="inlineStr">
        <is>
          <t>Eng Support</t>
        </is>
      </c>
      <c r="I11" s="8" t="inlineStr">
        <is>
          <t>Reporting blocked</t>
        </is>
      </c>
      <c r="J11" s="8" t="inlineStr">
        <is>
          <t>All our custom templates are gone</t>
        </is>
      </c>
    </row>
    <row r="12">
      <c r="A12" s="9" t="inlineStr">
        <is>
          <t>T-4831</t>
        </is>
      </c>
      <c r="B12" s="9" t="inlineStr">
        <is>
          <t>TerraAxis Corp</t>
        </is>
      </c>
      <c r="C12" s="9" t="inlineStr">
        <is>
          <t>User provisioning API returns 503 intermittently</t>
        </is>
      </c>
      <c r="D12" s="9" t="inlineStr">
        <is>
          <t>P3</t>
        </is>
      </c>
      <c r="E12" s="9" t="inlineStr">
        <is>
          <t>Open</t>
        </is>
      </c>
      <c r="F12" s="9" t="inlineStr">
        <is>
          <t>2026-06-18</t>
        </is>
      </c>
      <c r="G12" s="9" t="n">
        <v>14</v>
      </c>
      <c r="H12" s="9" t="inlineStr">
        <is>
          <t>Platform</t>
        </is>
      </c>
      <c r="I12" s="9" t="inlineStr">
        <is>
          <t>Manual user management</t>
        </is>
      </c>
      <c r="J12" s="9" t="inlineStr">
        <is>
          <t>IT is doing this manually now</t>
        </is>
      </c>
    </row>
    <row r="13">
      <c r="A13" s="9" t="inlineStr">
        <is>
          <t>T-4832</t>
        </is>
      </c>
      <c r="B13" s="9" t="inlineStr">
        <is>
          <t>TerraAxis Corp</t>
        </is>
      </c>
      <c r="C13" s="9" t="inlineStr">
        <is>
          <t>CSV export encoding broken (UTF-8 characters)</t>
        </is>
      </c>
      <c r="D13" s="9" t="inlineStr">
        <is>
          <t>P3</t>
        </is>
      </c>
      <c r="E13" s="9" t="inlineStr">
        <is>
          <t>Open</t>
        </is>
      </c>
      <c r="F13" s="9" t="inlineStr">
        <is>
          <t>2026-06-22</t>
        </is>
      </c>
      <c r="G13" s="9" t="n">
        <v>10</v>
      </c>
      <c r="H13" s="9" t="inlineStr">
        <is>
          <t>Eng Support</t>
        </is>
      </c>
      <c r="I13" s="9" t="inlineStr">
        <is>
          <t>Data quality issues</t>
        </is>
      </c>
      <c r="J13" s="9" t="inlineStr">
        <is>
          <t>Our European data is all mangled</t>
        </is>
      </c>
    </row>
    <row r="14">
      <c r="A14" s="10" t="inlineStr">
        <is>
          <t>T-4833</t>
        </is>
      </c>
      <c r="B14" s="10" t="inlineStr">
        <is>
          <t>BlueSky Logistics</t>
        </is>
      </c>
      <c r="C14" s="10" t="inlineStr">
        <is>
          <t>Platform returns 504 during peak load hours</t>
        </is>
      </c>
      <c r="D14" s="10" t="inlineStr">
        <is>
          <t>P1</t>
        </is>
      </c>
      <c r="E14" s="10" t="inlineStr">
        <is>
          <t>Open</t>
        </is>
      </c>
      <c r="F14" s="10" t="inlineStr">
        <is>
          <t>2026-05-10</t>
        </is>
      </c>
      <c r="G14" s="10" t="n">
        <v>53</v>
      </c>
      <c r="H14" s="10" t="inlineStr">
        <is>
          <t>Infra</t>
        </is>
      </c>
      <c r="I14" s="10" t="inlineStr">
        <is>
          <t>Service unavailable 9-11am daily</t>
        </is>
      </c>
      <c r="J14" s="10" t="inlineStr">
        <is>
          <t>We physically cannot use the product during our busiest window</t>
        </is>
      </c>
    </row>
    <row r="15">
      <c r="A15" s="10" t="inlineStr">
        <is>
          <t>T-4834</t>
        </is>
      </c>
      <c r="B15" s="10" t="inlineStr">
        <is>
          <t>BlueSky Logistics</t>
        </is>
      </c>
      <c r="C15" s="10" t="inlineStr">
        <is>
          <t>Inventory sync failing with legacy ERP</t>
        </is>
      </c>
      <c r="D15" s="10" t="inlineStr">
        <is>
          <t>P1</t>
        </is>
      </c>
      <c r="E15" s="10" t="inlineStr">
        <is>
          <t>Open</t>
        </is>
      </c>
      <c r="F15" s="10" t="inlineStr">
        <is>
          <t>2026-05-18</t>
        </is>
      </c>
      <c r="G15" s="10" t="n">
        <v>45</v>
      </c>
      <c r="H15" s="10" t="inlineStr">
        <is>
          <t>Integration</t>
        </is>
      </c>
      <c r="I15" s="10" t="inlineStr">
        <is>
          <t>Core workflow broken</t>
        </is>
      </c>
      <c r="J15" s="10" t="inlineStr">
        <is>
          <t>This was in the contract. It has never worked.</t>
        </is>
      </c>
    </row>
    <row r="16">
      <c r="A16" s="8" t="inlineStr">
        <is>
          <t>T-4835</t>
        </is>
      </c>
      <c r="B16" s="8" t="inlineStr">
        <is>
          <t>BlueSky Logistics</t>
        </is>
      </c>
      <c r="C16" s="8" t="inlineStr">
        <is>
          <t>User roles not persisting after session timeout</t>
        </is>
      </c>
      <c r="D16" s="8" t="inlineStr">
        <is>
          <t>P2</t>
        </is>
      </c>
      <c r="E16" s="8" t="inlineStr">
        <is>
          <t>Open</t>
        </is>
      </c>
      <c r="F16" s="8" t="inlineStr">
        <is>
          <t>2026-05-25</t>
        </is>
      </c>
      <c r="G16" s="8" t="n">
        <v>38</v>
      </c>
      <c r="H16" s="8" t="inlineStr">
        <is>
          <t>Auth Team</t>
        </is>
      </c>
      <c r="I16" s="8" t="inlineStr">
        <is>
          <t>Security and permissions issue</t>
        </is>
      </c>
      <c r="J16" s="8" t="inlineStr">
        <is>
          <t>People are logging in with wrong permissions</t>
        </is>
      </c>
    </row>
    <row r="17">
      <c r="A17" s="8" t="inlineStr">
        <is>
          <t>T-4836</t>
        </is>
      </c>
      <c r="B17" s="8" t="inlineStr">
        <is>
          <t>BlueSky Logistics</t>
        </is>
      </c>
      <c r="C17" s="8" t="inlineStr">
        <is>
          <t>Scheduled reports sending to wrong recipients</t>
        </is>
      </c>
      <c r="D17" s="8" t="inlineStr">
        <is>
          <t>P2</t>
        </is>
      </c>
      <c r="E17" s="8" t="inlineStr">
        <is>
          <t>Open</t>
        </is>
      </c>
      <c r="F17" s="8" t="inlineStr">
        <is>
          <t>2026-06-05</t>
        </is>
      </c>
      <c r="G17" s="8" t="n">
        <v>27</v>
      </c>
      <c r="H17" s="8" t="inlineStr">
        <is>
          <t>Platform</t>
        </is>
      </c>
      <c r="I17" s="8" t="inlineStr">
        <is>
          <t>Reports going to wrong people</t>
        </is>
      </c>
      <c r="J17" s="8" t="inlineStr">
        <is>
          <t>GDPR concern — reports are going to the wrong email addresses</t>
        </is>
      </c>
    </row>
    <row r="18">
      <c r="A18" s="8" t="inlineStr">
        <is>
          <t>T-4837</t>
        </is>
      </c>
      <c r="B18" s="8" t="inlineStr">
        <is>
          <t>BlueSky Logistics</t>
        </is>
      </c>
      <c r="C18" s="8" t="inlineStr">
        <is>
          <t>Search indexing delay causing stale results</t>
        </is>
      </c>
      <c r="D18" s="8" t="inlineStr">
        <is>
          <t>P2</t>
        </is>
      </c>
      <c r="E18" s="8" t="inlineStr">
        <is>
          <t>Open</t>
        </is>
      </c>
      <c r="F18" s="8" t="inlineStr">
        <is>
          <t>2026-06-12</t>
        </is>
      </c>
      <c r="G18" s="8" t="n">
        <v>20</v>
      </c>
      <c r="H18" s="8" t="inlineStr">
        <is>
          <t>Search</t>
        </is>
      </c>
      <c r="I18" s="8" t="inlineStr">
        <is>
          <t>Operational friction</t>
        </is>
      </c>
      <c r="J18" s="8" t="inlineStr">
        <is>
          <t>Search results are 24h behind reality</t>
        </is>
      </c>
    </row>
    <row r="19">
      <c r="A19" s="9" t="inlineStr">
        <is>
          <t>T-4838</t>
        </is>
      </c>
      <c r="B19" s="9" t="inlineStr">
        <is>
          <t>BlueSky Logistics</t>
        </is>
      </c>
      <c r="C19" s="9" t="inlineStr">
        <is>
          <t>Calendar integration not syncing with Outlook</t>
        </is>
      </c>
      <c r="D19" s="9" t="inlineStr">
        <is>
          <t>P3</t>
        </is>
      </c>
      <c r="E19" s="9" t="inlineStr">
        <is>
          <t>Open</t>
        </is>
      </c>
      <c r="F19" s="9" t="inlineStr">
        <is>
          <t>2026-06-20</t>
        </is>
      </c>
      <c r="G19" s="9" t="n">
        <v>12</v>
      </c>
      <c r="H19" s="9" t="inlineStr">
        <is>
          <t>Integration</t>
        </is>
      </c>
      <c r="I19" s="9" t="inlineStr">
        <is>
          <t>Manual scheduling</t>
        </is>
      </c>
      <c r="J19" s="9" t="inlineStr">
        <is>
          <t>We were promised this would work at signup</t>
        </is>
      </c>
    </row>
    <row r="20">
      <c r="A20" s="9" t="inlineStr">
        <is>
          <t>T-4839</t>
        </is>
      </c>
      <c r="B20" s="9" t="inlineStr">
        <is>
          <t>BlueSky Logistics</t>
        </is>
      </c>
      <c r="C20" s="9" t="inlineStr">
        <is>
          <t>Mobile app crashes on iOS 18.2</t>
        </is>
      </c>
      <c r="D20" s="9" t="inlineStr">
        <is>
          <t>P3</t>
        </is>
      </c>
      <c r="E20" s="9" t="inlineStr">
        <is>
          <t>Open</t>
        </is>
      </c>
      <c r="F20" s="9" t="inlineStr">
        <is>
          <t>2026-06-25</t>
        </is>
      </c>
      <c r="G20" s="9" t="n">
        <v>7</v>
      </c>
      <c r="H20" s="9" t="inlineStr">
        <is>
          <t>Mobile</t>
        </is>
      </c>
      <c r="I20" s="9" t="inlineStr">
        <is>
          <t>Mobile team cannot use app</t>
        </is>
      </c>
      <c r="J20" s="9" t="inlineStr">
        <is>
          <t>Half my team is on iPhone</t>
        </is>
      </c>
    </row>
    <row r="21">
      <c r="A21" s="8" t="inlineStr">
        <is>
          <t>T-4840</t>
        </is>
      </c>
      <c r="B21" s="8" t="inlineStr">
        <is>
          <t>Hartwell Financial</t>
        </is>
      </c>
      <c r="C21" s="8" t="inlineStr">
        <is>
          <t>Custom chart renderer broken in Firefox</t>
        </is>
      </c>
      <c r="D21" s="8" t="inlineStr">
        <is>
          <t>P2</t>
        </is>
      </c>
      <c r="E21" s="8" t="inlineStr">
        <is>
          <t>Open</t>
        </is>
      </c>
      <c r="F21" s="8" t="inlineStr">
        <is>
          <t>2026-06-15</t>
        </is>
      </c>
      <c r="G21" s="8" t="n">
        <v>17</v>
      </c>
      <c r="H21" s="8" t="inlineStr">
        <is>
          <t>Frontend</t>
        </is>
      </c>
      <c r="I21" s="8" t="inlineStr">
        <is>
          <t>Analytics blocked for Firefox users</t>
        </is>
      </c>
      <c r="J21" s="8" t="inlineStr">
        <is>
          <t>40% of our team uses Firefox</t>
        </is>
      </c>
    </row>
    <row r="22">
      <c r="A22" s="9" t="inlineStr">
        <is>
          <t>T-4841</t>
        </is>
      </c>
      <c r="B22" s="9" t="inlineStr">
        <is>
          <t>Hartwell Financial</t>
        </is>
      </c>
      <c r="C22" s="9" t="inlineStr">
        <is>
          <t>PDF export missing conditional formatting</t>
        </is>
      </c>
      <c r="D22" s="9" t="inlineStr">
        <is>
          <t>P3</t>
        </is>
      </c>
      <c r="E22" s="9" t="inlineStr">
        <is>
          <t>Open</t>
        </is>
      </c>
      <c r="F22" s="9" t="inlineStr">
        <is>
          <t>2026-06-20</t>
        </is>
      </c>
      <c r="G22" s="9" t="n">
        <v>12</v>
      </c>
      <c r="H22" s="9" t="inlineStr">
        <is>
          <t>Platform</t>
        </is>
      </c>
      <c r="I22" s="9" t="inlineStr">
        <is>
          <t>Report presentation issue</t>
        </is>
      </c>
      <c r="J22" s="9" t="inlineStr">
        <is>
          <t>Our board reports look unprofessional</t>
        </is>
      </c>
    </row>
    <row r="23">
      <c r="A23" s="8" t="inlineStr">
        <is>
          <t>T-4842</t>
        </is>
      </c>
      <c r="B23" s="8" t="inlineStr">
        <is>
          <t>Hartwell Financial</t>
        </is>
      </c>
      <c r="C23" s="8" t="inlineStr">
        <is>
          <t>API token expiry not sending renewal notice</t>
        </is>
      </c>
      <c r="D23" s="8" t="inlineStr">
        <is>
          <t>P2</t>
        </is>
      </c>
      <c r="E23" s="8" t="inlineStr">
        <is>
          <t>Open</t>
        </is>
      </c>
      <c r="F23" s="8" t="inlineStr">
        <is>
          <t>2026-06-24</t>
        </is>
      </c>
      <c r="G23" s="8" t="n">
        <v>8</v>
      </c>
      <c r="H23" s="8" t="inlineStr">
        <is>
          <t>API Team</t>
        </is>
      </c>
      <c r="I23" s="8" t="inlineStr">
        <is>
          <t>Silent breakage risk</t>
        </is>
      </c>
      <c r="J23" s="8" t="inlineStr">
        <is>
          <t>We had an outage last month because of this</t>
        </is>
      </c>
    </row>
    <row r="24">
      <c r="A24" s="8" t="inlineStr">
        <is>
          <t>T-4843</t>
        </is>
      </c>
      <c r="B24" s="8" t="inlineStr">
        <is>
          <t>Frontier Analytics</t>
        </is>
      </c>
      <c r="C24" s="8" t="inlineStr">
        <is>
          <t>Power BI connector not certified for v3.1</t>
        </is>
      </c>
      <c r="D24" s="8" t="inlineStr">
        <is>
          <t>P2</t>
        </is>
      </c>
      <c r="E24" s="8" t="inlineStr">
        <is>
          <t>Open</t>
        </is>
      </c>
      <c r="F24" s="8" t="inlineStr">
        <is>
          <t>2026-06-10</t>
        </is>
      </c>
      <c r="G24" s="8" t="n">
        <v>22</v>
      </c>
      <c r="H24" s="8" t="inlineStr">
        <is>
          <t>Integration</t>
        </is>
      </c>
      <c r="I24" s="8" t="inlineStr">
        <is>
          <t>Integration stalled</t>
        </is>
      </c>
      <c r="J24" s="8" t="inlineStr">
        <is>
          <t>IT is using this to justify moving to Power BI</t>
        </is>
      </c>
    </row>
    <row r="25">
      <c r="A25" s="8" t="inlineStr">
        <is>
          <t>T-4844</t>
        </is>
      </c>
      <c r="B25" s="8" t="inlineStr">
        <is>
          <t>Frontier Analytics</t>
        </is>
      </c>
      <c r="C25" s="8" t="inlineStr">
        <is>
          <t>SAML SSO failing for Azure AD users</t>
        </is>
      </c>
      <c r="D25" s="8" t="inlineStr">
        <is>
          <t>P2</t>
        </is>
      </c>
      <c r="E25" s="8" t="inlineStr">
        <is>
          <t>Open</t>
        </is>
      </c>
      <c r="F25" s="8" t="inlineStr">
        <is>
          <t>2026-06-18</t>
        </is>
      </c>
      <c r="G25" s="8" t="n">
        <v>14</v>
      </c>
      <c r="H25" s="8" t="inlineStr">
        <is>
          <t>Auth Team</t>
        </is>
      </c>
      <c r="I25" s="8" t="inlineStr">
        <is>
          <t>Login broken for new joiners</t>
        </is>
      </c>
      <c r="J25" s="8" t="inlineStr">
        <is>
          <t>We can't onboard new users</t>
        </is>
      </c>
    </row>
    <row r="26">
      <c r="A26" s="9" t="inlineStr">
        <is>
          <t>T-4845</t>
        </is>
      </c>
      <c r="B26" s="9" t="inlineStr">
        <is>
          <t>Frontier Analytics</t>
        </is>
      </c>
      <c r="C26" s="9" t="inlineStr">
        <is>
          <t>Calculated field formulas returning wrong results</t>
        </is>
      </c>
      <c r="D26" s="9" t="inlineStr">
        <is>
          <t>P3</t>
        </is>
      </c>
      <c r="E26" s="9" t="inlineStr">
        <is>
          <t>Open</t>
        </is>
      </c>
      <c r="F26" s="9" t="inlineStr">
        <is>
          <t>2026-06-22</t>
        </is>
      </c>
      <c r="G26" s="9" t="n">
        <v>10</v>
      </c>
      <c r="H26" s="9" t="inlineStr">
        <is>
          <t>Platform</t>
        </is>
      </c>
      <c r="I26" s="9" t="inlineStr">
        <is>
          <t>Data accuracy issue</t>
        </is>
      </c>
      <c r="J26" s="9" t="inlineStr">
        <is>
          <t>Our KPI dashboard has been showing wrong numbers for 10 days</t>
        </is>
      </c>
    </row>
    <row r="27">
      <c r="A27" s="9" t="inlineStr">
        <is>
          <t>T-4846</t>
        </is>
      </c>
      <c r="B27" s="9" t="inlineStr">
        <is>
          <t>Apex Manufacturing</t>
        </is>
      </c>
      <c r="C27" s="9" t="inlineStr">
        <is>
          <t>Industrial IoT data ingestion latency</t>
        </is>
      </c>
      <c r="D27" s="9" t="inlineStr">
        <is>
          <t>P3</t>
        </is>
      </c>
      <c r="E27" s="9" t="inlineStr">
        <is>
          <t>Open</t>
        </is>
      </c>
      <c r="F27" s="9" t="inlineStr">
        <is>
          <t>2026-06-28</t>
        </is>
      </c>
      <c r="G27" s="9" t="n">
        <v>4</v>
      </c>
      <c r="H27" s="9" t="inlineStr">
        <is>
          <t>Integration</t>
        </is>
      </c>
      <c r="I27" s="9" t="inlineStr">
        <is>
          <t>Delay in operational dashboards</t>
        </is>
      </c>
      <c r="J27" s="9" t="inlineStr">
        <is>
          <t>Acceptable for now but blocking Q3 rollout plan</t>
        </is>
      </c>
    </row>
    <row r="28">
      <c r="A28" s="9" t="inlineStr">
        <is>
          <t>T-4847</t>
        </is>
      </c>
      <c r="B28" s="9" t="inlineStr">
        <is>
          <t>Vantara Solutions</t>
        </is>
      </c>
      <c r="C28" s="9" t="inlineStr">
        <is>
          <t>New dashboard templates not loading</t>
        </is>
      </c>
      <c r="D28" s="9" t="inlineStr">
        <is>
          <t>P3</t>
        </is>
      </c>
      <c r="E28" s="9" t="inlineStr">
        <is>
          <t>Open</t>
        </is>
      </c>
      <c r="F28" s="9" t="inlineStr">
        <is>
          <t>2026-07-01</t>
        </is>
      </c>
      <c r="G28" s="9" t="n">
        <v>1</v>
      </c>
      <c r="H28" s="9" t="inlineStr">
        <is>
          <t>Frontend</t>
        </is>
      </c>
      <c r="I28" s="9" t="inlineStr">
        <is>
          <t>Minor friction</t>
        </is>
      </c>
      <c r="J28" s="9" t="inlineStr">
        <is>
          <t>Just raised this today — not blocking</t>
        </is>
      </c>
    </row>
    <row r="29">
      <c r="A29" s="8" t="inlineStr">
        <is>
          <t>T-4848</t>
        </is>
      </c>
      <c r="B29" s="8" t="inlineStr">
        <is>
          <t>Solaris Health</t>
        </is>
      </c>
      <c r="C29" s="8" t="inlineStr">
        <is>
          <t>HIPAA audit log export format changed</t>
        </is>
      </c>
      <c r="D29" s="8" t="inlineStr">
        <is>
          <t>P2</t>
        </is>
      </c>
      <c r="E29" s="8" t="inlineStr">
        <is>
          <t>Open</t>
        </is>
      </c>
      <c r="F29" s="8" t="inlineStr">
        <is>
          <t>2026-06-29</t>
        </is>
      </c>
      <c r="G29" s="8" t="n">
        <v>3</v>
      </c>
      <c r="H29" s="8" t="inlineStr">
        <is>
          <t>Compliance</t>
        </is>
      </c>
      <c r="I29" s="8" t="inlineStr">
        <is>
          <t>Compliance concern</t>
        </is>
      </c>
      <c r="J29" s="8" t="inlineStr">
        <is>
          <t>Need this resolved before renewal conversation</t>
        </is>
      </c>
    </row>
  </sheetData>
  <autoFilter ref="A1:J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5" customWidth="1" min="1" max="1"/>
    <col width="80" customWidth="1" min="2" max="2"/>
  </cols>
  <sheetData>
    <row r="1">
      <c r="A1" s="11" t="inlineStr">
        <is>
          <t>Field</t>
        </is>
      </c>
      <c r="B1" s="11" t="inlineStr">
        <is>
          <t>Value</t>
        </is>
      </c>
    </row>
    <row r="2">
      <c r="A2" t="inlineStr">
        <is>
          <t>CSM Name</t>
        </is>
      </c>
      <c r="B2" t="inlineStr">
        <is>
          <t>Sarah Chen</t>
        </is>
      </c>
    </row>
    <row r="3">
      <c r="A3" t="inlineStr">
        <is>
          <t>CSM Email</t>
        </is>
      </c>
      <c r="B3" t="inlineStr">
        <is>
          <t>s.chen@ourcompany.com</t>
        </is>
      </c>
    </row>
    <row r="4">
      <c r="A4" t="inlineStr">
        <is>
          <t>AE Name</t>
        </is>
      </c>
      <c r="B4" t="inlineStr">
        <is>
          <t>Marcus Webb</t>
        </is>
      </c>
    </row>
    <row r="5">
      <c r="A5" t="inlineStr">
        <is>
          <t>AE Email</t>
        </is>
      </c>
      <c r="B5" t="inlineStr">
        <is>
          <t>m.webb@ourcompany.com</t>
        </is>
      </c>
    </row>
    <row r="6">
      <c r="A6" t="inlineStr">
        <is>
          <t>Company Name</t>
        </is>
      </c>
      <c r="B6" t="inlineStr">
        <is>
          <t>Nexus Platform</t>
        </is>
      </c>
    </row>
    <row r="7">
      <c r="A7" t="inlineStr">
        <is>
          <t>Product Name</t>
        </is>
      </c>
      <c r="B7" t="inlineStr">
        <is>
          <t>Nexus Analytics Platform</t>
        </is>
      </c>
    </row>
    <row r="8">
      <c r="A8" t="inlineStr">
        <is>
          <t>VP CS Name</t>
        </is>
      </c>
      <c r="B8" t="inlineStr">
        <is>
          <t>Jordan Ellis</t>
        </is>
      </c>
    </row>
    <row r="9">
      <c r="A9" t="inlineStr">
        <is>
          <t>Q2 Close Date</t>
        </is>
      </c>
      <c r="B9" t="inlineStr">
        <is>
          <t>September 30, 2026</t>
        </is>
      </c>
    </row>
    <row r="10">
      <c r="A10" t="inlineStr"/>
      <c r="B10" t="inlineStr"/>
    </row>
    <row r="11">
      <c r="A11">
        <f>= NEXIS CORP CONTEXT ==</f>
        <v/>
      </c>
      <c r="B11" t="inlineStr"/>
    </row>
    <row r="12">
      <c r="A12" t="inlineStr">
        <is>
          <t>ARR</t>
        </is>
      </c>
      <c r="B12" t="inlineStr">
        <is>
          <t>$285,000</t>
        </is>
      </c>
    </row>
    <row r="13">
      <c r="A13" t="inlineStr">
        <is>
          <t>Renewal Date</t>
        </is>
      </c>
      <c r="B13" t="inlineStr">
        <is>
          <t>August 15, 2026</t>
        </is>
      </c>
    </row>
    <row r="14">
      <c r="A14" t="inlineStr">
        <is>
          <t>Risk</t>
        </is>
      </c>
      <c r="B14" t="inlineStr">
        <is>
          <t>RED — champion displaced, 7 open tickets, usage at 41%</t>
        </is>
      </c>
    </row>
    <row r="15">
      <c r="A15" t="inlineStr">
        <is>
          <t>Key History</t>
        </is>
      </c>
      <c r="B15" t="inlineStr">
        <is>
          <t>Been a customer 3 years. Used to be our strongest advocate. Reorganization in May moved David Kim to a different division. No executive sponsor identified yet.</t>
        </is>
      </c>
    </row>
    <row r="16">
      <c r="A16" t="inlineStr">
        <is>
          <t>What they need to hear</t>
        </is>
      </c>
      <c r="B16" t="inlineStr">
        <is>
          <t>We acknowledge the ticket backlog. We have a plan. The new VP Engineering (Rachel Torres) needs to see ROI before her first budget cycle closes.</t>
        </is>
      </c>
    </row>
    <row r="17">
      <c r="A17" t="inlineStr"/>
      <c r="B17" t="inlineStr"/>
    </row>
    <row r="18">
      <c r="A18">
        <f>= TERRAAXIS CONTEXT ==</f>
        <v/>
      </c>
      <c r="B18" t="inlineStr"/>
    </row>
    <row r="19">
      <c r="A19" t="inlineStr">
        <is>
          <t>ARR</t>
        </is>
      </c>
      <c r="B19" t="inlineStr">
        <is>
          <t>$89,000</t>
        </is>
      </c>
    </row>
    <row r="20">
      <c r="A20" t="inlineStr">
        <is>
          <t>Renewal Date</t>
        </is>
      </c>
      <c r="B20" t="inlineStr">
        <is>
          <t>July 31, 2026</t>
        </is>
      </c>
    </row>
    <row r="21">
      <c r="A21" t="inlineStr">
        <is>
          <t>Risk</t>
        </is>
      </c>
      <c r="B21" t="inlineStr">
        <is>
          <t>RED — champion left company, CTO skeptical, 5 open tickets</t>
        </is>
      </c>
    </row>
    <row r="22">
      <c r="A22" t="inlineStr">
        <is>
          <t>Key History</t>
        </is>
      </c>
      <c r="B22" t="inlineStr">
        <is>
          <t>Alex Morgan (IT Manager) left June 2nd. He was the implementation driver and main user. CTO Dana Brooks has been asking IT to 'review all vendor relationships'. No EBR done since Q1.</t>
        </is>
      </c>
    </row>
    <row r="23">
      <c r="A23" t="inlineStr">
        <is>
          <t>What they need to hear</t>
        </is>
      </c>
      <c r="B23" t="inlineStr">
        <is>
          <t>Executive briefing: what they've achieved, what's been fixed, and why renewal is the right call vs. 6-month migration risk.</t>
        </is>
      </c>
    </row>
    <row r="24">
      <c r="A24" t="inlineStr"/>
      <c r="B24" t="inlineStr"/>
    </row>
    <row r="25">
      <c r="A25">
        <f>= BLUESKY LOGISTICS CONTEXT ==</f>
        <v/>
      </c>
      <c r="B25" t="inlineStr"/>
    </row>
    <row r="26">
      <c r="A26" t="inlineStr">
        <is>
          <t>ARR</t>
        </is>
      </c>
      <c r="B26" t="inlineStr">
        <is>
          <t>$62,000</t>
        </is>
      </c>
    </row>
    <row r="27">
      <c r="A27" t="inlineStr">
        <is>
          <t>Renewal Date</t>
        </is>
      </c>
      <c r="B27" t="inlineStr">
        <is>
          <t>July 25, 2026 — 23 DAYS</t>
        </is>
      </c>
    </row>
    <row r="28">
      <c r="A28" t="inlineStr">
        <is>
          <t>Risk</t>
        </is>
      </c>
      <c r="B28" t="inlineStr">
        <is>
          <t>RED CRITICAL — COO never onboarded, 9 open tickets, 29% usage</t>
        </is>
      </c>
    </row>
    <row r="29">
      <c r="A29" t="inlineStr">
        <is>
          <t>Key History</t>
        </is>
      </c>
      <c r="B29" t="inlineStr">
        <is>
          <t>Originally signed by Mike Chen (Ops Director) without COO involvement. COO Janet Lee discovered the tool in a budget review and has never received a demo or value briefing. Mike is disengaged.</t>
        </is>
      </c>
    </row>
    <row r="30">
      <c r="A30" t="inlineStr">
        <is>
          <t>What they need to hear</t>
        </is>
      </c>
      <c r="B30" t="inlineStr">
        <is>
          <t>Personal outreach from VP CS to COO. Acknowledge the situation. Offer direct exec session. Escalation + ticket resolution plan in writing.</t>
        </is>
      </c>
    </row>
    <row r="31">
      <c r="A31" t="inlineStr"/>
      <c r="B31" t="inlineStr"/>
    </row>
    <row r="32">
      <c r="A32">
        <f>= RENEWAL TALKING POINTS (All accounts) ==</f>
        <v/>
      </c>
      <c r="B32" t="inlineStr"/>
    </row>
    <row r="33">
      <c r="A33" t="inlineStr">
        <is>
          <t>ROI Stat 1</t>
        </is>
      </c>
      <c r="B33" t="inlineStr">
        <is>
          <t>Customers who reach 75%+ platform usage report 3.2x faster time-to-insight vs manual workflows</t>
        </is>
      </c>
    </row>
    <row r="34">
      <c r="A34" t="inlineStr">
        <is>
          <t>ROI Stat 2</t>
        </is>
      </c>
      <c r="B34" t="inlineStr">
        <is>
          <t>Enterprise customers average 11 hours/week saved per power user after full adoption</t>
        </is>
      </c>
    </row>
    <row r="35">
      <c r="A35" t="inlineStr">
        <is>
          <t>ROI Stat 3</t>
        </is>
      </c>
      <c r="B35" t="inlineStr">
        <is>
          <t>Teams using our analytics report average 23% reduction in reporting cycle time</t>
        </is>
      </c>
    </row>
    <row r="36">
      <c r="A36" t="inlineStr">
        <is>
          <t>Competitive Differentiator</t>
        </is>
      </c>
      <c r="B36" t="inlineStr">
        <is>
          <t>Only platform with native M365 integration — no data export/import cycle, live connections to Excel, Teams, and Outlook</t>
        </is>
      </c>
    </row>
    <row r="37">
      <c r="A37" t="inlineStr">
        <is>
          <t>Migration Risk</t>
        </is>
      </c>
      <c r="B37" t="inlineStr">
        <is>
          <t>Average competitor migration takes 4–6 months of IT time and $40–$80k in professional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30" customWidth="1" min="3" max="3"/>
    <col width="14" customWidth="1" min="4" max="4"/>
    <col width="14" customWidth="1" min="5" max="5"/>
    <col width="10" customWidth="1" min="6" max="6"/>
    <col width="55" customWidth="1" min="7" max="7"/>
    <col width="60" customWidth="1" min="8" max="8"/>
  </cols>
  <sheetData>
    <row r="1">
      <c r="A1" s="1" t="inlineStr">
        <is>
          <t>Account</t>
        </is>
      </c>
      <c r="B1" s="1" t="inlineStr">
        <is>
          <t>Action Type</t>
        </is>
      </c>
      <c r="C1" s="1" t="inlineStr">
        <is>
          <t>Owner</t>
        </is>
      </c>
      <c r="D1" s="1" t="inlineStr">
        <is>
          <t>Due Date</t>
        </is>
      </c>
      <c r="E1" s="1" t="inlineStr">
        <is>
          <t>Status</t>
        </is>
      </c>
      <c r="F1" s="1" t="inlineStr">
        <is>
          <t>Priority</t>
        </is>
      </c>
      <c r="G1" s="1" t="inlineStr">
        <is>
          <t>Outcome Goal</t>
        </is>
      </c>
      <c r="H1" s="1" t="inlineStr">
        <is>
          <t>Notes</t>
        </is>
      </c>
    </row>
    <row r="2">
      <c r="A2" s="8" t="inlineStr">
        <is>
          <t>Nexis Corporation</t>
        </is>
      </c>
      <c r="B2" s="8" t="inlineStr">
        <is>
          <t>Executive EBR</t>
        </is>
      </c>
      <c r="C2" s="8" t="inlineStr">
        <is>
          <t>Sarah Chen + Jordan Ellis (VP CS)</t>
        </is>
      </c>
      <c r="D2" s="8" t="inlineStr">
        <is>
          <t>2026-07-10</t>
        </is>
      </c>
      <c r="E2" s="8" t="inlineStr">
        <is>
          <t>Not Started</t>
        </is>
      </c>
      <c r="F2" s="8" t="inlineStr">
        <is>
          <t>P1</t>
        </is>
      </c>
      <c r="G2" s="8" t="inlineStr">
        <is>
          <t>Introduce VP CS to Rachel Torres; present ticket resolution roadmap + ROI summary</t>
        </is>
      </c>
      <c r="H2" s="8" t="inlineStr">
        <is>
          <t>Use exec save playbook. Jordan to co-present. Send pre-read deck 48hr in advance.</t>
        </is>
      </c>
    </row>
    <row r="3">
      <c r="A3" s="8" t="inlineStr">
        <is>
          <t>Nexis Corporation</t>
        </is>
      </c>
      <c r="B3" s="8" t="inlineStr">
        <is>
          <t>Ticket Resolution Plan</t>
        </is>
      </c>
      <c r="C3" s="8" t="inlineStr">
        <is>
          <t>Support Team + Sarah Chen</t>
        </is>
      </c>
      <c r="D3" s="8" t="inlineStr">
        <is>
          <t>2026-07-07</t>
        </is>
      </c>
      <c r="E3" s="8" t="inlineStr">
        <is>
          <t>Not Started</t>
        </is>
      </c>
      <c r="F3" s="8" t="inlineStr">
        <is>
          <t>P1</t>
        </is>
      </c>
      <c r="G3" s="8" t="inlineStr">
        <is>
          <t>All P2 tickets acknowledged with ETAs; at least 3 resolved before EBR</t>
        </is>
      </c>
      <c r="H3" s="8" t="inlineStr">
        <is>
          <t>Sarah to coordinate with Eng. Schedule ticket triage call before July 7.</t>
        </is>
      </c>
    </row>
    <row r="4">
      <c r="A4" s="8" t="inlineStr">
        <is>
          <t>Nexis Corporation</t>
        </is>
      </c>
      <c r="B4" s="8" t="inlineStr">
        <is>
          <t>Champion Mapping</t>
        </is>
      </c>
      <c r="C4" s="8" t="inlineStr">
        <is>
          <t>Sarah Chen + Marcus Webb</t>
        </is>
      </c>
      <c r="D4" s="8" t="inlineStr">
        <is>
          <t>2026-07-05</t>
        </is>
      </c>
      <c r="E4" s="8" t="inlineStr">
        <is>
          <t>Not Started</t>
        </is>
      </c>
      <c r="F4" s="8" t="inlineStr">
        <is>
          <t>P1</t>
        </is>
      </c>
      <c r="G4" s="8" t="inlineStr">
        <is>
          <t>Identify new internal champion; get intro call scheduled</t>
        </is>
      </c>
      <c r="H4" s="8" t="inlineStr">
        <is>
          <t>David Kim may still be helpful as internal reference even in new role — check with him first.</t>
        </is>
      </c>
    </row>
    <row r="5">
      <c r="A5" s="8" t="inlineStr">
        <is>
          <t>TerraAxis Corp</t>
        </is>
      </c>
      <c r="B5" s="8" t="inlineStr">
        <is>
          <t>CTO Briefing Deck</t>
        </is>
      </c>
      <c r="C5" s="8" t="inlineStr">
        <is>
          <t>Marcus Webb + Sarah Chen</t>
        </is>
      </c>
      <c r="D5" s="8" t="inlineStr">
        <is>
          <t>2026-07-08</t>
        </is>
      </c>
      <c r="E5" s="8" t="inlineStr">
        <is>
          <t>Not Started</t>
        </is>
      </c>
      <c r="F5" s="8" t="inlineStr">
        <is>
          <t>P1</t>
        </is>
      </c>
      <c r="G5" s="8" t="inlineStr">
        <is>
          <t>Send 2-page exec brief to Dana Brooks (CTO) — ROI + migration risk + open ticket plan</t>
        </is>
      </c>
      <c r="H5" s="8" t="inlineStr">
        <is>
          <t>Must come from AE, not CSM. Personalize to CTO's stated priorities (budget + security).</t>
        </is>
      </c>
    </row>
    <row r="6">
      <c r="A6" s="8" t="inlineStr">
        <is>
          <t>TerraAxis Corp</t>
        </is>
      </c>
      <c r="B6" s="8" t="inlineStr">
        <is>
          <t>QBR Scheduling</t>
        </is>
      </c>
      <c r="C6" s="8" t="inlineStr">
        <is>
          <t>Sarah Chen</t>
        </is>
      </c>
      <c r="D6" s="8" t="inlineStr">
        <is>
          <t>2026-07-06</t>
        </is>
      </c>
      <c r="E6" s="8" t="inlineStr">
        <is>
          <t>Not Started</t>
        </is>
      </c>
      <c r="F6" s="8" t="inlineStr">
        <is>
          <t>P1</t>
        </is>
      </c>
      <c r="G6" s="8" t="inlineStr">
        <is>
          <t>Schedule emergency QBR with CTO + new IT lead before July 18</t>
        </is>
      </c>
      <c r="H6" s="8" t="inlineStr">
        <is>
          <t>Offer 3 time slots. Keep to 30 min. Bring Eng Lead to ticket walkthrough.</t>
        </is>
      </c>
    </row>
    <row r="7">
      <c r="A7" s="10" t="inlineStr">
        <is>
          <t>BlueSky Logistics</t>
        </is>
      </c>
      <c r="B7" s="10" t="inlineStr">
        <is>
          <t>VP CS Outreach to COO</t>
        </is>
      </c>
      <c r="C7" s="10" t="inlineStr">
        <is>
          <t>Jordan Ellis (VP CS)</t>
        </is>
      </c>
      <c r="D7" s="10" t="inlineStr">
        <is>
          <t>2026-07-03</t>
        </is>
      </c>
      <c r="E7" s="10" t="inlineStr">
        <is>
          <t>Not Started</t>
        </is>
      </c>
      <c r="F7" s="10" t="inlineStr">
        <is>
          <t>CRITICAL</t>
        </is>
      </c>
      <c r="G7" s="10" t="inlineStr">
        <is>
          <t>Personal email + call offer to Janet Lee (COO) — acknowledge gap, offer direct session</t>
        </is>
      </c>
      <c r="H7" s="10" t="inlineStr">
        <is>
          <t>This is an exec save. COO has never been contacted. Personalized outreach from Jordan only.</t>
        </is>
      </c>
    </row>
    <row r="8">
      <c r="A8" s="10" t="inlineStr">
        <is>
          <t>BlueSky Logistics</t>
        </is>
      </c>
      <c r="B8" s="10" t="inlineStr">
        <is>
          <t>P1 Ticket Resolution Commit</t>
        </is>
      </c>
      <c r="C8" s="10" t="inlineStr">
        <is>
          <t>Support Team</t>
        </is>
      </c>
      <c r="D8" s="10" t="inlineStr">
        <is>
          <t>2026-07-05</t>
        </is>
      </c>
      <c r="E8" s="10" t="inlineStr">
        <is>
          <t>Not Started</t>
        </is>
      </c>
      <c r="F8" s="10" t="inlineStr">
        <is>
          <t>CRITICAL</t>
        </is>
      </c>
      <c r="G8" s="10" t="inlineStr">
        <is>
          <t>Written resolution commitment for T-4833 and T-4834 with dates</t>
        </is>
      </c>
      <c r="H8" s="10" t="inlineStr">
        <is>
          <t>Customer explicitly mentioned T-4834 is a contractual commitment. Legal may need to weigh in.</t>
        </is>
      </c>
    </row>
    <row r="9">
      <c r="A9" s="8" t="inlineStr">
        <is>
          <t>BlueSky Logistics</t>
        </is>
      </c>
      <c r="B9" s="8" t="inlineStr">
        <is>
          <t>Mike Chen Re-engagement</t>
        </is>
      </c>
      <c r="C9" s="8" t="inlineStr">
        <is>
          <t>Sarah Chen</t>
        </is>
      </c>
      <c r="D9" s="8" t="inlineStr">
        <is>
          <t>2026-07-04</t>
        </is>
      </c>
      <c r="E9" s="8" t="inlineStr">
        <is>
          <t>Not Started</t>
        </is>
      </c>
      <c r="F9" s="8" t="inlineStr">
        <is>
          <t>P1</t>
        </is>
      </c>
      <c r="G9" s="8" t="inlineStr">
        <is>
          <t>Reconnect with Mike — understand his internal situation; use as conduit to COO intro</t>
        </is>
      </c>
      <c r="H9" s="8" t="inlineStr">
        <is>
          <t>Mike may be embarrassed that the tool is underperforming. Approach carefully.</t>
        </is>
      </c>
    </row>
    <row r="10">
      <c r="A10" s="9" t="inlineStr">
        <is>
          <t>Hartwell Financial</t>
        </is>
      </c>
      <c r="B10" s="9" t="inlineStr">
        <is>
          <t>CFO Pricing Call</t>
        </is>
      </c>
      <c r="C10" s="9" t="inlineStr">
        <is>
          <t>Marcus Webb</t>
        </is>
      </c>
      <c r="D10" s="9" t="inlineStr">
        <is>
          <t>2026-07-09</t>
        </is>
      </c>
      <c r="E10" s="9" t="inlineStr">
        <is>
          <t>Not Started</t>
        </is>
      </c>
      <c r="F10" s="9" t="inlineStr">
        <is>
          <t>P2</t>
        </is>
      </c>
      <c r="G10" s="9" t="inlineStr">
        <is>
          <t>Present value case + multi-year pricing option to CFO Brian Cox</t>
        </is>
      </c>
      <c r="H10" s="9" t="inlineStr">
        <is>
          <t>Emma Walsh has prepped CFO. Target: 2-year deal at 8% discount vs walk away. Floor: flat renewal.</t>
        </is>
      </c>
    </row>
    <row r="11">
      <c r="A11" s="9" t="inlineStr">
        <is>
          <t>Hartwell Financial</t>
        </is>
      </c>
      <c r="B11" s="9" t="inlineStr">
        <is>
          <t>ROI One-Pager</t>
        </is>
      </c>
      <c r="C11" s="9" t="inlineStr">
        <is>
          <t>Sarah Chen</t>
        </is>
      </c>
      <c r="D11" s="9" t="inlineStr">
        <is>
          <t>2026-07-07</t>
        </is>
      </c>
      <c r="E11" s="9" t="inlineStr">
        <is>
          <t>Not Started</t>
        </is>
      </c>
      <c r="F11" s="9" t="inlineStr">
        <is>
          <t>P2</t>
        </is>
      </c>
      <c r="G11" s="9" t="inlineStr">
        <is>
          <t>Produce 1-page ROI summary for Hartwell — quantified value delivered in Y1</t>
        </is>
      </c>
      <c r="H11" s="9" t="inlineStr">
        <is>
          <t>Use actual usage data + benchmark stats. Emma wants this for her CFO pre-read.</t>
        </is>
      </c>
    </row>
    <row r="12">
      <c r="A12" s="9" t="inlineStr">
        <is>
          <t>Frontier Analytics</t>
        </is>
      </c>
      <c r="B12" s="9" t="inlineStr">
        <is>
          <t>CEO ROI Review</t>
        </is>
      </c>
      <c r="C12" s="9" t="inlineStr">
        <is>
          <t>James Park + Tom Walsh</t>
        </is>
      </c>
      <c r="D12" s="9" t="inlineStr">
        <is>
          <t>2026-07-12</t>
        </is>
      </c>
      <c r="E12" s="9" t="inlineStr">
        <is>
          <t>Not Started</t>
        </is>
      </c>
      <c r="F12" s="9" t="inlineStr">
        <is>
          <t>P2</t>
        </is>
      </c>
      <c r="G12" s="9" t="inlineStr">
        <is>
          <t>Schedule CEO call to review platform ROI and address Power BI concerns</t>
        </is>
      </c>
      <c r="H12" s="9" t="inlineStr">
        <is>
          <t>Need to quantify what they've built vs what a Power BI migration would cost/take.</t>
        </is>
      </c>
    </row>
    <row r="13">
      <c r="A13" s="9" t="inlineStr">
        <is>
          <t>Frontier Analytics</t>
        </is>
      </c>
      <c r="B13" s="9" t="inlineStr">
        <is>
          <t>Power BI Competitive Brief</t>
        </is>
      </c>
      <c r="C13" s="9" t="inlineStr">
        <is>
          <t>Marcus Webb</t>
        </is>
      </c>
      <c r="D13" s="9" t="inlineStr">
        <is>
          <t>2026-07-08</t>
        </is>
      </c>
      <c r="E13" s="9" t="inlineStr">
        <is>
          <t>Not Started</t>
        </is>
      </c>
      <c r="F13" s="9" t="inlineStr">
        <is>
          <t>P2</t>
        </is>
      </c>
      <c r="G13" s="9" t="inlineStr">
        <is>
          <t>Prepare competitive brief: our platform vs Power BI for Frontier's use case</t>
        </is>
      </c>
      <c r="H13" s="9" t="inlineStr">
        <is>
          <t>Focus on integration depth, time-to-insight, and migration risk. Kyle Marsh is technically literate.</t>
        </is>
      </c>
    </row>
    <row r="14">
      <c r="A14" s="12" t="inlineStr">
        <is>
          <t>Meridian Partners</t>
        </is>
      </c>
      <c r="B14" s="12" t="inlineStr">
        <is>
          <t>Renewal Paperwork</t>
        </is>
      </c>
      <c r="C14" s="12" t="inlineStr">
        <is>
          <t>Sarah Chen</t>
        </is>
      </c>
      <c r="D14" s="12" t="inlineStr">
        <is>
          <t>2026-07-05</t>
        </is>
      </c>
      <c r="E14" s="12" t="inlineStr">
        <is>
          <t>Not Started</t>
        </is>
      </c>
      <c r="F14" s="12" t="inlineStr">
        <is>
          <t>P3</t>
        </is>
      </c>
      <c r="G14" s="12" t="inlineStr">
        <is>
          <t>Send renewal order form + expansion proposal for 2 new departments</t>
        </is>
      </c>
      <c r="H14" s="12" t="inlineStr">
        <is>
          <t>This is a win — just needs to be executed cleanly. Include expansion pricing.</t>
        </is>
      </c>
    </row>
    <row r="15">
      <c r="A15" s="12" t="inlineStr">
        <is>
          <t>Vantara Solutions</t>
        </is>
      </c>
      <c r="B15" s="12" t="inlineStr">
        <is>
          <t>Expansion Proposal</t>
        </is>
      </c>
      <c r="C15" s="12" t="inlineStr">
        <is>
          <t>Marcus Webb + Sarah Chen</t>
        </is>
      </c>
      <c r="D15" s="12" t="inlineStr">
        <is>
          <t>2026-07-09</t>
        </is>
      </c>
      <c r="E15" s="12" t="inlineStr">
        <is>
          <t>Not Started</t>
        </is>
      </c>
      <c r="F15" s="12" t="inlineStr">
        <is>
          <t>P3</t>
        </is>
      </c>
      <c r="G15" s="12" t="inlineStr">
        <is>
          <t>Present Product Analytics module add-on ($24k) to Carlos Mendes</t>
        </is>
      </c>
      <c r="H15" s="12" t="inlineStr">
        <is>
          <t>CEO Aisha Johnson visible in Teams — potentially get exec alignment on expansion.</t>
        </is>
      </c>
    </row>
    <row r="16">
      <c r="A16" s="12" t="inlineStr">
        <is>
          <t>CoreLogic Inc</t>
        </is>
      </c>
      <c r="B16" s="12" t="inlineStr">
        <is>
          <t>Renewal + Referral</t>
        </is>
      </c>
      <c r="C16" s="12" t="inlineStr">
        <is>
          <t>Tom Walsh</t>
        </is>
      </c>
      <c r="D16" s="12" t="inlineStr">
        <is>
          <t>2026-07-10</t>
        </is>
      </c>
      <c r="E16" s="12" t="inlineStr">
        <is>
          <t>Not Started</t>
        </is>
      </c>
      <c r="F16" s="12" t="inlineStr">
        <is>
          <t>P3</t>
        </is>
      </c>
      <c r="G16" s="12" t="inlineStr">
        <is>
          <t>Renew + request case study and 2 customer referrals from Rachel Green</t>
        </is>
      </c>
      <c r="H16" s="12" t="inlineStr">
        <is>
          <t>Rachel is a vocal advocate. CMO Paul Reed may co-author a case study.</t>
        </is>
      </c>
    </row>
  </sheetData>
  <autoFilter ref="A1:H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min="1" max="1"/>
    <col width="12" customWidth="1" min="2" max="2"/>
    <col width="16" customWidth="1" min="3" max="3"/>
    <col width="48" customWidth="1" min="4" max="4"/>
    <col width="42" customWidth="1" min="5" max="5"/>
  </cols>
  <sheetData>
    <row r="1">
      <c r="A1" s="13" t="inlineStr">
        <is>
          <t>Q3 RENEWAL BLITZ — PORTFOLIO DASHBOARD</t>
        </is>
      </c>
    </row>
    <row r="2">
      <c r="A2" s="14" t="inlineStr">
        <is>
          <t>Generated: July 2, 2026 | Q3 Close: September 30, 2026 | Total Portfolio: $808,000 ARR</t>
        </is>
      </c>
    </row>
    <row r="4">
      <c r="A4" s="15" t="inlineStr">
        <is>
          <t>PORTFOLIO SUMMARY</t>
        </is>
      </c>
    </row>
    <row r="5">
      <c r="A5" t="inlineStr"/>
      <c r="B5" t="inlineStr">
        <is>
          <t>Count</t>
        </is>
      </c>
      <c r="C5" t="inlineStr">
        <is>
          <t>ARR</t>
        </is>
      </c>
      <c r="D5" t="inlineStr">
        <is>
          <t>% of Portfolio</t>
        </is>
      </c>
    </row>
    <row r="6">
      <c r="A6" s="2" t="inlineStr">
        <is>
          <t>RED (At Risk)</t>
        </is>
      </c>
      <c r="B6" t="n">
        <v>3</v>
      </c>
      <c r="C6" t="n">
        <v>436000</v>
      </c>
      <c r="D6" t="inlineStr">
        <is>
          <t>54%</t>
        </is>
      </c>
    </row>
    <row r="7">
      <c r="A7" s="4" t="inlineStr">
        <is>
          <t>AMBER (Watch)</t>
        </is>
      </c>
      <c r="B7" t="n">
        <v>3</v>
      </c>
      <c r="C7" t="n">
        <v>261000</v>
      </c>
      <c r="D7" t="inlineStr">
        <is>
          <t>32%</t>
        </is>
      </c>
    </row>
    <row r="8">
      <c r="A8" s="6" t="inlineStr">
        <is>
          <t>GREEN (Healthy)</t>
        </is>
      </c>
      <c r="B8" t="n">
        <v>4</v>
      </c>
      <c r="C8" t="n">
        <v>339000</v>
      </c>
      <c r="D8" t="inlineStr">
        <is>
          <t>42%</t>
        </is>
      </c>
    </row>
    <row r="9">
      <c r="A9" t="inlineStr"/>
      <c r="B9" t="inlineStr"/>
      <c r="C9" t="inlineStr"/>
      <c r="D9" t="inlineStr"/>
    </row>
    <row r="10">
      <c r="A10" t="inlineStr">
        <is>
          <t>Renewing in &lt;30 days</t>
        </is>
      </c>
      <c r="B10" t="n">
        <v>2</v>
      </c>
      <c r="C10" t="n">
        <v>151000</v>
      </c>
      <c r="D10" t="inlineStr">
        <is>
          <t>19% of ARR</t>
        </is>
      </c>
    </row>
    <row r="11">
      <c r="A11" t="inlineStr">
        <is>
          <t>Renewing in 30-60 days</t>
        </is>
      </c>
      <c r="B11" t="n">
        <v>4</v>
      </c>
      <c r="C11" t="n">
        <v>537000</v>
      </c>
      <c r="D11" t="inlineStr">
        <is>
          <t>66% of ARR</t>
        </is>
      </c>
    </row>
    <row r="12">
      <c r="A12" t="inlineStr">
        <is>
          <t>No contact in &gt;14 days</t>
        </is>
      </c>
      <c r="B12" t="n">
        <v>3</v>
      </c>
      <c r="C12" t="n">
        <v>175000</v>
      </c>
      <c r="D12" t="inlineStr">
        <is>
          <t>22% of ARR</t>
        </is>
      </c>
    </row>
    <row r="13">
      <c r="A13" t="inlineStr">
        <is>
          <t>Open Support Tickets</t>
        </is>
      </c>
      <c r="B13" t="n">
        <v>28</v>
      </c>
      <c r="C13" t="inlineStr"/>
      <c r="D13" t="inlineStr"/>
    </row>
    <row r="14">
      <c r="A14" t="inlineStr">
        <is>
          <t>P1 Tickets</t>
        </is>
      </c>
      <c r="B14" t="n">
        <v>2</v>
      </c>
      <c r="C14" t="inlineStr"/>
      <c r="D14" t="inlineStr">
        <is>
          <t>BlueSky P1s — contractual breach risk</t>
        </is>
      </c>
    </row>
    <row r="15">
      <c r="A15" t="inlineStr">
        <is>
          <t>Accounts with champion change</t>
        </is>
      </c>
      <c r="B15" t="n">
        <v>2</v>
      </c>
      <c r="C15" t="n">
        <v>374000</v>
      </c>
      <c r="D15" t="inlineStr">
        <is>
          <t>Nexis + TerraAxis</t>
        </is>
      </c>
    </row>
    <row r="16">
      <c r="A16" s="16" t="inlineStr">
        <is>
          <t>TOP 3 CRITICAL ACCOUNTS — EXECUTIVE ACTION REQUIRED</t>
        </is>
      </c>
    </row>
    <row r="17">
      <c r="A17" s="11" t="inlineStr">
        <is>
          <t>Account</t>
        </is>
      </c>
      <c r="B17" s="11" t="inlineStr">
        <is>
          <t>ARR</t>
        </is>
      </c>
      <c r="C17" s="11" t="inlineStr">
        <is>
          <t>Days to Renewal</t>
        </is>
      </c>
      <c r="D17" s="11" t="inlineStr">
        <is>
          <t>Risk Signal</t>
        </is>
      </c>
      <c r="E17" s="11" t="inlineStr">
        <is>
          <t>Required Action</t>
        </is>
      </c>
    </row>
    <row r="18">
      <c r="A18" s="2" t="inlineStr">
        <is>
          <t>BlueSky Logistics</t>
        </is>
      </c>
      <c r="B18" s="2" t="n">
        <v>62000</v>
      </c>
      <c r="C18" s="2" t="n">
        <v>23</v>
      </c>
      <c r="D18" s="2" t="inlineStr">
        <is>
          <t>COO never onboarded, 9 tickets, 29% usage</t>
        </is>
      </c>
      <c r="E18" s="2" t="inlineStr">
        <is>
          <t>VP CS personal outreach to COO TODAY</t>
        </is>
      </c>
    </row>
    <row r="19">
      <c r="A19" s="2" t="inlineStr">
        <is>
          <t>TerraAxis Corp</t>
        </is>
      </c>
      <c r="B19" s="2" t="n">
        <v>89000</v>
      </c>
      <c r="C19" s="2" t="n">
        <v>29</v>
      </c>
      <c r="D19" s="2" t="inlineStr">
        <is>
          <t>Champion left, CTO skeptical, 5 tickets</t>
        </is>
      </c>
      <c r="E19" s="2" t="inlineStr">
        <is>
          <t>AE + CSM CTO briefing within 48hrs</t>
        </is>
      </c>
    </row>
    <row r="20">
      <c r="A20" s="2" t="inlineStr">
        <is>
          <t>Nexis Corporation</t>
        </is>
      </c>
      <c r="B20" s="2" t="n">
        <v>285000</v>
      </c>
      <c r="C20" s="2" t="n">
        <v>44</v>
      </c>
      <c r="D20" s="2" t="inlineStr">
        <is>
          <t>Champion displaced, 7 tickets, 41% usage, 3 years</t>
        </is>
      </c>
      <c r="E20" s="2" t="inlineStr">
        <is>
          <t>EBR with new VP Eng + ticket resolution commit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2026-07-02T23:04:24Z</dcterms:created>
  <dcterms:modified xmlns:dcterms="http://purl.org/dc/terms/" xmlns:xsi="http://www.w3.org/2001/XMLSchema-instance" xsi:type="dcterms:W3CDTF">2026-07-02T23:04:24Z</dcterms:modified>
</cp:coreProperties>
</file>